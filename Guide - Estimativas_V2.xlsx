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codeName="EstaPasta_de_trabalho"/>
  <bookViews>
    <workbookView visibility="visible" minimized="0" showHorizontalScroll="1" showVerticalScroll="1" showSheetTabs="1" xWindow="-108" yWindow="-108" windowWidth="23256" windowHeight="12456" tabRatio="600" firstSheet="0" activeTab="0" autoFilterDateGrouping="1"/>
  </bookViews>
  <sheets>
    <sheet name="Estimativa" sheetId="1" state="visible" r:id="rId1"/>
    <sheet name="Planilha1" sheetId="2" state="visible" r:id="rId2"/>
    <sheet name="Sharepoint" sheetId="3" state="visible" r:id="rId3"/>
    <sheet name="Descrição Sharepoint" sheetId="4" state="visible" r:id="rId4"/>
    <sheet name="Android (Java)" sheetId="5" state="visible" r:id="rId5"/>
    <sheet name="Descrição Android (Java)" sheetId="6" state="visible" r:id="rId6"/>
    <sheet name="ASP.NET Web Forms" sheetId="7" state="visible" r:id="rId7"/>
    <sheet name="Descrição ASP.NET Web Forms" sheetId="8" state="visible" r:id="rId8"/>
    <sheet name="ASP.NET MVC" sheetId="9" state="visible" r:id="rId9"/>
    <sheet name="Descrição ASP.NET MVC" sheetId="10" state="visible" r:id="rId10"/>
    <sheet name="ASP.NET Webservices" sheetId="11" state="visible" r:id="rId11"/>
    <sheet name="Descrição ASP.NET Webservices" sheetId="12" state="visible" r:id="rId12"/>
    <sheet name="C#" sheetId="13" state="visible" r:id="rId13"/>
    <sheet name="Descrição C#" sheetId="14" state="visible" r:id="rId14"/>
    <sheet name="EPM" sheetId="15" state="visible" r:id="rId15"/>
    <sheet name="Descrição EPM" sheetId="16" state="visible" r:id="rId16"/>
    <sheet name="Java" sheetId="17" state="visible" r:id="rId17"/>
    <sheet name="Descrição Java" sheetId="18" state="visible" r:id="rId18"/>
    <sheet name="iOS (Objective C)" sheetId="19" state="visible" r:id="rId19"/>
    <sheet name="Descrição iOS (Objective C)" sheetId="20" state="visible" r:id="rId20"/>
    <sheet name="VB.NET" sheetId="21" state="visible" r:id="rId21"/>
    <sheet name="Descrição VB.NET" sheetId="22" state="visible" r:id="rId22"/>
    <sheet name="VB 6" sheetId="23" state="visible" r:id="rId23"/>
    <sheet name="Descrição VB 6" sheetId="24" state="visible" r:id="rId24"/>
  </sheets>
  <definedNames/>
  <calcPr calcId="191028" calcMode="manual" fullCalcOnLoad="1" calcCompleted="0"/>
</workbook>
</file>

<file path=xl/styles.xml><?xml version="1.0" encoding="utf-8"?>
<styleSheet xmlns="http://schemas.openxmlformats.org/spreadsheetml/2006/main">
  <numFmts count="4">
    <numFmt numFmtId="164" formatCode="0.0"/>
    <numFmt numFmtId="165" formatCode="_-[$R$-416]\ * #,##0.00_-;\-[$R$-416]\ * #,##0.00_-;_-[$R$-416]\ * &quot;-&quot;??_-;_-@_-"/>
    <numFmt numFmtId="166" formatCode="0.0%"/>
    <numFmt numFmtId="167" formatCode="_-* #,##0.00_-;\-* #,##0.00_-;_-* &quot;-&quot;??_-;_-@_-"/>
  </numFmts>
  <fonts count="37">
    <font>
      <name val="Calibri"/>
      <family val="2"/>
      <color theme="1"/>
      <sz val="11"/>
      <scheme val="minor"/>
    </font>
    <font>
      <name val="Calibri"/>
      <family val="2"/>
      <color theme="1"/>
      <sz val="11"/>
      <scheme val="minor"/>
    </font>
    <font>
      <name val="Arial"/>
      <family val="2"/>
      <sz val="10"/>
    </font>
    <font>
      <name val="Arial"/>
      <family val="2"/>
      <b val="1"/>
      <i val="1"/>
      <sz val="12"/>
    </font>
    <font>
      <name val="Arial"/>
      <family val="2"/>
      <sz val="8"/>
    </font>
    <font>
      <name val="Arial"/>
      <family val="2"/>
      <b val="1"/>
      <color rgb="FFFFFFFF"/>
      <sz val="8"/>
    </font>
    <font>
      <name val="Arial"/>
      <family val="2"/>
      <b val="1"/>
      <sz val="8"/>
    </font>
    <font>
      <name val="Arial"/>
      <family val="2"/>
      <color theme="0"/>
      <sz val="10"/>
    </font>
    <font>
      <name val="Arial"/>
      <family val="2"/>
      <b val="1"/>
      <color theme="0"/>
      <sz val="8"/>
    </font>
    <font>
      <name val="Arial"/>
      <family val="2"/>
      <b val="1"/>
      <sz val="10"/>
    </font>
    <font>
      <name val="Arial"/>
      <family val="2"/>
      <b val="1"/>
      <sz val="11"/>
    </font>
    <font>
      <name val="Calibri"/>
      <family val="2"/>
      <color rgb="FF000000"/>
      <sz val="9"/>
    </font>
    <font>
      <name val="Calibri"/>
      <family val="2"/>
      <b val="1"/>
      <color rgb="FF000000"/>
      <sz val="11"/>
    </font>
    <font>
      <name val="Arial"/>
      <family val="2"/>
      <sz val="14"/>
    </font>
    <font>
      <name val="Arial"/>
      <family val="2"/>
      <b val="1"/>
      <sz val="10"/>
      <u val="single"/>
    </font>
    <font>
      <name val="Arial"/>
      <family val="2"/>
      <b val="1"/>
      <sz val="9"/>
      <u val="single"/>
    </font>
    <font>
      <name val="Arial"/>
      <family val="2"/>
      <b val="1"/>
      <sz val="9"/>
    </font>
    <font>
      <name val="Arial"/>
      <family val="2"/>
      <sz val="9"/>
    </font>
    <font>
      <name val="Arial"/>
      <family val="2"/>
      <b val="1"/>
      <color rgb="FF002060"/>
      <sz val="10"/>
      <u val="single"/>
    </font>
    <font>
      <name val="Arial"/>
      <family val="2"/>
      <color rgb="FF31869B"/>
      <sz val="8"/>
    </font>
    <font>
      <name val="Arial"/>
      <family val="2"/>
      <b val="1"/>
      <color rgb="FF000000"/>
      <sz val="11"/>
    </font>
    <font>
      <name val="Arial"/>
      <family val="2"/>
      <b val="1"/>
      <color theme="0"/>
      <sz val="9"/>
    </font>
    <font>
      <name val="Calibri"/>
      <family val="2"/>
      <color rgb="FF002060"/>
      <sz val="11"/>
    </font>
    <font>
      <name val="Calibri"/>
      <family val="2"/>
      <color theme="1"/>
      <sz val="8"/>
      <scheme val="minor"/>
    </font>
    <font>
      <name val="Arial"/>
      <family val="2"/>
      <b val="1"/>
      <sz val="8"/>
      <u val="single"/>
    </font>
    <font>
      <name val="Arial"/>
      <family val="2"/>
      <sz val="12"/>
    </font>
    <font>
      <name val="Arial"/>
      <family val="2"/>
      <sz val="11"/>
    </font>
    <font>
      <name val="Calibri"/>
      <family val="2"/>
      <color theme="1"/>
      <sz val="11"/>
    </font>
    <font>
      <name val="Arial"/>
      <family val="2"/>
      <b val="1"/>
      <color theme="1"/>
      <sz val="10"/>
    </font>
    <font>
      <name val="Arial"/>
      <family val="2"/>
      <b val="1"/>
      <color theme="0"/>
      <sz val="10"/>
    </font>
    <font>
      <name val="Arial"/>
      <family val="2"/>
      <b val="1"/>
      <color rgb="FF003366"/>
      <sz val="8"/>
    </font>
    <font>
      <name val="Arial"/>
      <family val="2"/>
      <sz val="8"/>
      <u val="single"/>
    </font>
    <font>
      <name val="Arial"/>
      <family val="2"/>
      <color theme="0" tint="-0.499984740745262"/>
      <sz val="8"/>
    </font>
    <font>
      <name val="Arial"/>
      <family val="2"/>
      <b val="1"/>
      <color theme="2" tint="-0.249977111117893"/>
      <sz val="8"/>
    </font>
    <font>
      <name val="Arial"/>
      <family val="2"/>
      <color rgb="FFFF0000"/>
      <sz val="9"/>
    </font>
    <font>
      <name val="Arial"/>
      <sz val="9"/>
    </font>
    <font>
      <b val="1"/>
      <color rgb="00FFFFFF"/>
    </font>
  </fonts>
  <fills count="39">
    <fill>
      <patternFill/>
    </fill>
    <fill>
      <patternFill patternType="gray125"/>
    </fill>
    <fill>
      <patternFill patternType="solid">
        <fgColor rgb="FFFFFFCC"/>
      </patternFill>
    </fill>
    <fill>
      <patternFill patternType="solid">
        <fgColor rgb="FF808000"/>
        <bgColor rgb="FF000000"/>
      </patternFill>
    </fill>
    <fill>
      <patternFill patternType="solid">
        <fgColor rgb="FF99CC00"/>
        <bgColor rgb="FF000000"/>
      </patternFill>
    </fill>
    <fill>
      <patternFill patternType="solid">
        <fgColor rgb="FFFFFF99"/>
        <bgColor rgb="FF000000"/>
      </patternFill>
    </fill>
    <fill>
      <patternFill patternType="solid">
        <fgColor rgb="FF808080"/>
        <bgColor rgb="FF000000"/>
      </patternFill>
    </fill>
    <fill>
      <patternFill patternType="solid">
        <fgColor rgb="FFBFBFBF"/>
        <bgColor rgb="FF000000"/>
      </patternFill>
    </fill>
    <fill>
      <patternFill patternType="solid">
        <fgColor rgb="FFCCFFCC"/>
        <bgColor rgb="FF000000"/>
      </patternFill>
    </fill>
    <fill>
      <patternFill patternType="solid">
        <fgColor rgb="FFC0C0C0"/>
        <bgColor rgb="FF000000"/>
      </patternFill>
    </fill>
    <fill>
      <patternFill patternType="solid">
        <fgColor rgb="FFFFFFFF"/>
        <bgColor rgb="FF000000"/>
      </patternFill>
    </fill>
    <fill>
      <patternFill patternType="solid">
        <fgColor rgb="FFFCD5B4"/>
        <bgColor rgb="FF000000"/>
      </patternFill>
    </fill>
    <fill>
      <patternFill patternType="solid">
        <fgColor rgb="FFB7DEE8"/>
        <bgColor rgb="FF000000"/>
      </patternFill>
    </fill>
    <fill>
      <patternFill patternType="solid">
        <fgColor rgb="FFA6A6A6"/>
        <bgColor rgb="FF000000"/>
      </patternFill>
    </fill>
    <fill>
      <patternFill patternType="solid">
        <fgColor rgb="FFCCC0DA"/>
        <bgColor rgb="FF000000"/>
      </patternFill>
    </fill>
    <fill>
      <patternFill patternType="solid">
        <fgColor rgb="FFC4BD97"/>
        <bgColor rgb="FF000000"/>
      </patternFill>
    </fill>
    <fill>
      <patternFill patternType="solid">
        <fgColor rgb="FFE6B8B7"/>
        <bgColor rgb="FF000000"/>
      </patternFill>
    </fill>
    <fill>
      <patternFill patternType="solid">
        <fgColor rgb="FFB1A0C7"/>
        <bgColor rgb="FF000000"/>
      </patternFill>
    </fill>
    <fill>
      <patternFill patternType="solid">
        <fgColor rgb="FFF2F2F2"/>
        <bgColor rgb="FF000000"/>
      </patternFill>
    </fill>
    <fill>
      <patternFill patternType="solid">
        <fgColor rgb="FF000000"/>
        <bgColor rgb="FF000000"/>
      </patternFill>
    </fill>
    <fill>
      <patternFill patternType="solid">
        <fgColor rgb="FFDCE6F1"/>
        <bgColor rgb="FF000000"/>
      </patternFill>
    </fill>
    <fill>
      <patternFill patternType="solid">
        <fgColor rgb="FFFFFFCC"/>
        <bgColor rgb="FFFFFFFF"/>
      </patternFill>
    </fill>
    <fill>
      <patternFill patternType="solid">
        <fgColor theme="0" tint="-0.0499893185216834"/>
        <bgColor indexed="64"/>
      </patternFill>
    </fill>
    <fill>
      <patternFill patternType="solid">
        <fgColor theme="0" tint="-0.1499984740745262"/>
        <bgColor indexed="64"/>
      </patternFill>
    </fill>
    <fill>
      <patternFill patternType="solid">
        <fgColor theme="0" tint="-0.1499984740745262"/>
        <bgColor rgb="FF000000"/>
      </patternFill>
    </fill>
    <fill>
      <patternFill patternType="solid">
        <fgColor theme="9" tint="0.3999755851924192"/>
        <bgColor indexed="64"/>
      </patternFill>
    </fill>
    <fill>
      <patternFill patternType="solid">
        <fgColor rgb="FF806000"/>
        <bgColor rgb="FF000000"/>
      </patternFill>
    </fill>
    <fill>
      <patternFill patternType="solid">
        <fgColor rgb="FFBF8F00"/>
        <bgColor rgb="FF000000"/>
      </patternFill>
    </fill>
    <fill>
      <patternFill patternType="solid">
        <fgColor theme="1"/>
        <bgColor indexed="64"/>
      </patternFill>
    </fill>
    <fill>
      <patternFill patternType="solid">
        <fgColor theme="9" tint="0.5999938962981048"/>
        <bgColor rgb="FF000000"/>
      </patternFill>
    </fill>
    <fill>
      <patternFill patternType="solid">
        <fgColor theme="0"/>
        <bgColor rgb="FF000000"/>
      </patternFill>
    </fill>
    <fill>
      <patternFill patternType="solid">
        <fgColor theme="0"/>
        <bgColor indexed="64"/>
      </patternFill>
    </fill>
    <fill>
      <patternFill patternType="solid">
        <fgColor theme="9"/>
        <bgColor rgb="FF000000"/>
      </patternFill>
    </fill>
    <fill>
      <patternFill patternType="solid">
        <fgColor theme="9"/>
        <bgColor indexed="64"/>
      </patternFill>
    </fill>
    <fill>
      <patternFill patternType="solid">
        <fgColor theme="7" tint="0.7999816888943144"/>
        <bgColor indexed="64"/>
      </patternFill>
    </fill>
    <fill>
      <patternFill patternType="solid">
        <fgColor theme="9" tint="0.7999816888943144"/>
        <bgColor indexed="64"/>
      </patternFill>
    </fill>
    <fill>
      <patternFill patternType="solid">
        <fgColor theme="9" tint="0.5999938962981048"/>
        <bgColor indexed="64"/>
      </patternFill>
    </fill>
    <fill>
      <patternFill patternType="solid">
        <fgColor rgb="FFFFFF00"/>
        <bgColor indexed="64"/>
      </patternFill>
    </fill>
    <fill>
      <patternFill patternType="solid">
        <fgColor rgb="001F4E78"/>
        <bgColor rgb="001F4E78"/>
      </patternFill>
    </fill>
  </fills>
  <borders count="73">
    <border>
      <left/>
      <right/>
      <top/>
      <bottom/>
      <diagonal/>
    </border>
    <border>
      <left style="thin">
        <color rgb="FFB2B2B2"/>
      </left>
      <right style="thin">
        <color rgb="FFB2B2B2"/>
      </right>
      <top style="thin">
        <color rgb="FFB2B2B2"/>
      </top>
      <bottom style="thin">
        <color rgb="FFB2B2B2"/>
      </bottom>
      <diagonal/>
    </border>
    <border>
      <left style="medium">
        <color indexed="64"/>
      </left>
      <right style="medium">
        <color indexed="64"/>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medium">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medium">
        <color indexed="64"/>
      </right>
      <top style="medium">
        <color indexed="64"/>
      </top>
      <bottom/>
      <diagonal/>
    </border>
    <border>
      <left style="thin">
        <color indexed="64"/>
      </left>
      <right/>
      <top style="medium">
        <color indexed="64"/>
      </top>
      <bottom style="thin">
        <color indexed="64"/>
      </bottom>
      <diagonal/>
    </border>
    <border>
      <left style="medium">
        <color indexed="64"/>
      </left>
      <right style="medium">
        <color indexed="64"/>
      </right>
      <top/>
      <bottom/>
      <diagonal/>
    </border>
    <border>
      <left style="medium">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medium">
        <color indexed="64"/>
      </right>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thin">
        <color indexed="64"/>
      </top>
      <bottom style="medium">
        <color indexed="64"/>
      </bottom>
      <diagonal/>
    </border>
    <border>
      <left style="medium">
        <color indexed="64"/>
      </left>
      <right style="thin">
        <color indexed="64"/>
      </right>
      <top style="thin">
        <color indexed="64"/>
      </top>
      <bottom/>
      <diagonal/>
    </border>
    <border>
      <left style="thin">
        <color indexed="64"/>
      </left>
      <right/>
      <top style="thin">
        <color indexed="64"/>
      </top>
      <bottom/>
      <diagonal/>
    </border>
    <border>
      <left/>
      <right/>
      <top style="medium">
        <color indexed="64"/>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right style="thin">
        <color indexed="64"/>
      </right>
      <top style="medium">
        <color indexed="64"/>
      </top>
      <bottom/>
      <diagonal/>
    </border>
    <border>
      <left style="thin">
        <color indexed="64"/>
      </left>
      <right/>
      <top style="medium">
        <color indexed="64"/>
      </top>
      <bottom/>
      <diagonal/>
    </border>
    <border>
      <left/>
      <right/>
      <top/>
      <bottom style="medium">
        <color indexed="64"/>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diagonal/>
    </border>
    <border>
      <left style="medium">
        <color indexed="64"/>
      </left>
      <right/>
      <top style="medium">
        <color indexed="64"/>
      </top>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bottom/>
      <diagonal/>
    </border>
    <border>
      <left style="medium">
        <color indexed="64"/>
      </left>
      <right style="medium">
        <color indexed="64"/>
      </right>
      <top style="thin">
        <color indexed="64"/>
      </top>
      <bottom style="thin">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right/>
      <top style="thin">
        <color indexed="64"/>
      </top>
      <bottom/>
      <diagonal/>
    </border>
    <border>
      <left/>
      <right style="medium">
        <color indexed="64"/>
      </right>
      <top style="thin">
        <color indexed="64"/>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top style="thin">
        <color indexed="64"/>
      </top>
      <bottom style="medium">
        <color indexed="64"/>
      </bottom>
      <diagonal/>
    </border>
    <border>
      <left style="medium">
        <color indexed="64"/>
      </left>
      <right style="thin">
        <color indexed="64"/>
      </right>
      <top/>
      <bottom/>
      <diagonal/>
    </border>
    <border>
      <left style="thin">
        <color indexed="64"/>
      </left>
      <right style="thin">
        <color indexed="64"/>
      </right>
      <top/>
      <bottom/>
      <diagonal/>
    </border>
    <border>
      <left style="thin">
        <color indexed="64"/>
      </left>
      <right style="medium">
        <color indexed="64"/>
      </right>
      <top/>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style="thin">
        <color indexed="64"/>
      </right>
      <top/>
      <bottom style="medium">
        <color indexed="64"/>
      </bottom>
      <diagonal/>
    </border>
    <border>
      <left style="thin">
        <color indexed="64"/>
      </left>
      <right/>
      <top/>
      <bottom style="medium">
        <color indexed="64"/>
      </bottom>
      <diagonal/>
    </border>
    <border>
      <left/>
      <right style="thin">
        <color indexed="64"/>
      </right>
      <top/>
      <bottom style="medium">
        <color indexed="64"/>
      </bottom>
      <diagonal/>
    </border>
    <border>
      <left style="thin">
        <color indexed="64"/>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top/>
      <bottom/>
      <diagonal/>
    </border>
    <border>
      <left/>
      <right/>
      <top style="thin">
        <color rgb="FFB2B2B2"/>
      </top>
      <bottom/>
      <diagonal/>
    </border>
    <border>
      <left/>
      <right style="thin">
        <color rgb="FFB2B2B2"/>
      </right>
      <top style="thin">
        <color rgb="FFB2B2B2"/>
      </top>
      <bottom/>
      <diagonal/>
    </border>
    <border>
      <left/>
      <right/>
      <top style="thin">
        <color rgb="FFB2B2B2"/>
      </top>
      <bottom style="thin">
        <color rgb="FFB2B2B2"/>
      </bottom>
      <diagonal/>
    </border>
    <border>
      <left/>
      <right style="thin">
        <color rgb="FFB2B2B2"/>
      </right>
      <top style="thin">
        <color rgb="FFB2B2B2"/>
      </top>
      <bottom style="thin">
        <color rgb="FFB2B2B2"/>
      </bottom>
      <diagonal/>
    </border>
    <border>
      <left style="medium">
        <color indexed="64"/>
      </left>
      <right/>
      <top style="medium">
        <color indexed="64"/>
      </top>
      <bottom style="medium">
        <color indexed="64"/>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right style="thin"/>
      <top style="thin"/>
      <bottom style="thin"/>
    </border>
  </borders>
  <cellStyleXfs count="8">
    <xf numFmtId="0" fontId="1" fillId="0" borderId="0"/>
    <xf numFmtId="43" fontId="1" fillId="0" borderId="0"/>
    <xf numFmtId="9" fontId="1" fillId="0" borderId="0"/>
    <xf numFmtId="0" fontId="1" fillId="2" borderId="1"/>
    <xf numFmtId="0" fontId="2" fillId="0" borderId="0"/>
    <xf numFmtId="9" fontId="2" fillId="0" borderId="0"/>
    <xf numFmtId="9" fontId="2" fillId="0" borderId="0"/>
    <xf numFmtId="43" fontId="1" fillId="0" borderId="0"/>
  </cellStyleXfs>
  <cellXfs count="419">
    <xf numFmtId="0" fontId="0" fillId="0" borderId="0" pivotButton="0" quotePrefix="0" xfId="0"/>
    <xf numFmtId="0" fontId="2" fillId="0" borderId="0" applyAlignment="1" pivotButton="0" quotePrefix="0" xfId="4">
      <alignment horizontal="center"/>
    </xf>
    <xf numFmtId="0" fontId="2" fillId="0" borderId="0" pivotButton="0" quotePrefix="0" xfId="4"/>
    <xf numFmtId="0" fontId="4" fillId="0" borderId="0" applyAlignment="1" pivotButton="0" quotePrefix="0" xfId="4">
      <alignment horizontal="center"/>
    </xf>
    <xf numFmtId="164" fontId="4" fillId="0" borderId="0" applyAlignment="1" pivotButton="0" quotePrefix="0" xfId="4">
      <alignment horizontal="center"/>
    </xf>
    <xf numFmtId="0" fontId="4" fillId="5" borderId="13" pivotButton="0" quotePrefix="0" xfId="4"/>
    <xf numFmtId="0" fontId="4" fillId="0" borderId="13" pivotButton="0" quotePrefix="0" xfId="4"/>
    <xf numFmtId="43" fontId="2" fillId="0" borderId="0" pivotButton="0" quotePrefix="0" xfId="1"/>
    <xf numFmtId="0" fontId="4" fillId="0" borderId="13" applyAlignment="1" pivotButton="0" quotePrefix="0" xfId="4">
      <alignment horizontal="left"/>
    </xf>
    <xf numFmtId="0" fontId="4" fillId="8" borderId="13" pivotButton="0" quotePrefix="0" xfId="4"/>
    <xf numFmtId="0" fontId="4" fillId="8" borderId="19" pivotButton="0" quotePrefix="0" xfId="4"/>
    <xf numFmtId="0" fontId="2" fillId="0" borderId="32" applyAlignment="1" pivotButton="0" quotePrefix="0" xfId="4">
      <alignment horizontal="center"/>
    </xf>
    <xf numFmtId="0" fontId="7" fillId="0" borderId="0" applyAlignment="1" pivotButton="0" quotePrefix="0" xfId="4">
      <alignment horizontal="center"/>
    </xf>
    <xf numFmtId="0" fontId="7" fillId="0" borderId="0" pivotButton="0" quotePrefix="0" xfId="4"/>
    <xf numFmtId="0" fontId="8" fillId="4" borderId="33" applyAlignment="1" pivotButton="0" quotePrefix="0" xfId="4">
      <alignment horizontal="center"/>
    </xf>
    <xf numFmtId="0" fontId="6" fillId="4" borderId="27" applyAlignment="1" pivotButton="0" quotePrefix="0" xfId="4">
      <alignment horizontal="center"/>
    </xf>
    <xf numFmtId="0" fontId="4" fillId="5" borderId="2" pivotButton="0" quotePrefix="0" xfId="4"/>
    <xf numFmtId="0" fontId="4" fillId="5" borderId="3" pivotButton="0" quotePrefix="0" xfId="4"/>
    <xf numFmtId="0" fontId="4" fillId="5" borderId="39" pivotButton="0" quotePrefix="0" xfId="4"/>
    <xf numFmtId="0" fontId="4" fillId="5" borderId="17" pivotButton="0" quotePrefix="0" xfId="4"/>
    <xf numFmtId="0" fontId="4" fillId="5" borderId="6" pivotButton="0" quotePrefix="0" xfId="4"/>
    <xf numFmtId="0" fontId="4" fillId="5" borderId="23" pivotButton="0" quotePrefix="0" xfId="4"/>
    <xf numFmtId="0" fontId="4" fillId="8" borderId="2" pivotButton="0" quotePrefix="0" xfId="4"/>
    <xf numFmtId="0" fontId="4" fillId="8" borderId="3" pivotButton="0" quotePrefix="0" xfId="4"/>
    <xf numFmtId="0" fontId="4" fillId="8" borderId="39" pivotButton="0" quotePrefix="0" xfId="4"/>
    <xf numFmtId="0" fontId="4" fillId="8" borderId="17" pivotButton="0" quotePrefix="0" xfId="4"/>
    <xf numFmtId="0" fontId="4" fillId="8" borderId="6" pivotButton="0" quotePrefix="0" xfId="4"/>
    <xf numFmtId="0" fontId="4" fillId="8" borderId="23" pivotButton="0" quotePrefix="0" xfId="4"/>
    <xf numFmtId="0" fontId="5" fillId="3" borderId="27" applyAlignment="1" pivotButton="0" quotePrefix="0" xfId="0">
      <alignment horizontal="center"/>
    </xf>
    <xf numFmtId="0" fontId="6" fillId="4" borderId="15" applyAlignment="1" pivotButton="0" quotePrefix="0" xfId="0">
      <alignment horizontal="center"/>
    </xf>
    <xf numFmtId="0" fontId="2" fillId="0" borderId="0" applyAlignment="1" pivotButton="0" quotePrefix="0" xfId="0">
      <alignment horizontal="center" vertical="center"/>
    </xf>
    <xf numFmtId="1" fontId="4" fillId="0" borderId="15" applyAlignment="1" pivotButton="0" quotePrefix="0" xfId="0">
      <alignment horizontal="center"/>
    </xf>
    <xf numFmtId="1" fontId="4" fillId="5" borderId="15" applyAlignment="1" pivotButton="0" quotePrefix="0" xfId="0">
      <alignment horizontal="center"/>
    </xf>
    <xf numFmtId="1" fontId="4" fillId="0" borderId="0" applyAlignment="1" pivotButton="0" quotePrefix="0" xfId="0">
      <alignment horizontal="center"/>
    </xf>
    <xf numFmtId="0" fontId="2" fillId="0" borderId="0" pivotButton="0" quotePrefix="0" xfId="0"/>
    <xf numFmtId="0" fontId="2" fillId="10" borderId="42" pivotButton="0" quotePrefix="0" xfId="0"/>
    <xf numFmtId="0" fontId="2" fillId="10" borderId="32" pivotButton="0" quotePrefix="0" xfId="0"/>
    <xf numFmtId="0" fontId="10" fillId="9" borderId="18" applyAlignment="1" pivotButton="0" quotePrefix="0" xfId="0">
      <alignment horizontal="center" vertical="center"/>
    </xf>
    <xf numFmtId="0" fontId="10" fillId="9" borderId="47" applyAlignment="1" pivotButton="0" quotePrefix="0" xfId="0">
      <alignment horizontal="center" vertical="center"/>
    </xf>
    <xf numFmtId="0" fontId="10" fillId="9" borderId="49" applyAlignment="1" pivotButton="0" quotePrefix="0" xfId="0">
      <alignment horizontal="center" vertical="center"/>
    </xf>
    <xf numFmtId="0" fontId="2" fillId="0" borderId="4" applyAlignment="1" pivotButton="0" quotePrefix="0" xfId="0">
      <alignment horizontal="left"/>
    </xf>
    <xf numFmtId="0" fontId="2" fillId="0" borderId="4" applyAlignment="1" pivotButton="0" quotePrefix="0" xfId="0">
      <alignment horizontal="center"/>
    </xf>
    <xf numFmtId="0" fontId="2" fillId="0" borderId="15" applyAlignment="1" pivotButton="0" quotePrefix="0" xfId="0">
      <alignment horizontal="center"/>
    </xf>
    <xf numFmtId="0" fontId="2" fillId="0" borderId="4" applyAlignment="1" pivotButton="0" quotePrefix="1" xfId="0">
      <alignment horizontal="center"/>
    </xf>
    <xf numFmtId="0" fontId="2" fillId="0" borderId="15" applyAlignment="1" pivotButton="0" quotePrefix="0" xfId="0">
      <alignment horizontal="left"/>
    </xf>
    <xf numFmtId="0" fontId="2" fillId="0" borderId="15" applyAlignment="1" pivotButton="0" quotePrefix="1" xfId="0">
      <alignment horizontal="center"/>
    </xf>
    <xf numFmtId="0" fontId="2" fillId="0" borderId="21" applyAlignment="1" pivotButton="0" quotePrefix="0" xfId="0">
      <alignment horizontal="left"/>
    </xf>
    <xf numFmtId="0" fontId="2" fillId="0" borderId="21" applyAlignment="1" pivotButton="0" quotePrefix="0" xfId="0">
      <alignment horizontal="center"/>
    </xf>
    <xf numFmtId="0" fontId="2" fillId="0" borderId="4" pivotButton="0" quotePrefix="0" xfId="0"/>
    <xf numFmtId="0" fontId="2" fillId="13" borderId="4" applyAlignment="1" pivotButton="0" quotePrefix="1" xfId="0">
      <alignment horizontal="center"/>
    </xf>
    <xf numFmtId="0" fontId="2" fillId="13" borderId="4" applyAlignment="1" applyProtection="1" pivotButton="0" quotePrefix="0" xfId="0">
      <alignment horizontal="center" vertical="center"/>
      <protection locked="0" hidden="0"/>
    </xf>
    <xf numFmtId="0" fontId="2" fillId="8" borderId="4" applyAlignment="1" applyProtection="1" pivotButton="0" quotePrefix="0" xfId="0">
      <alignment horizontal="center" vertical="center"/>
      <protection locked="0" hidden="0"/>
    </xf>
    <xf numFmtId="0" fontId="2" fillId="8" borderId="5" applyAlignment="1" applyProtection="1" pivotButton="0" quotePrefix="0" xfId="0">
      <alignment horizontal="center" vertical="center"/>
      <protection locked="0" hidden="0"/>
    </xf>
    <xf numFmtId="0" fontId="2" fillId="0" borderId="21" pivotButton="0" quotePrefix="0" xfId="0"/>
    <xf numFmtId="0" fontId="2" fillId="13" borderId="21" applyAlignment="1" pivotButton="0" quotePrefix="0" xfId="0">
      <alignment horizontal="center"/>
    </xf>
    <xf numFmtId="0" fontId="2" fillId="13" borderId="21" applyAlignment="1" applyProtection="1" pivotButton="0" quotePrefix="0" xfId="0">
      <alignment horizontal="center" vertical="center"/>
      <protection locked="0" hidden="0"/>
    </xf>
    <xf numFmtId="0" fontId="2" fillId="8" borderId="21" applyAlignment="1" applyProtection="1" pivotButton="0" quotePrefix="0" xfId="0">
      <alignment horizontal="center" vertical="center"/>
      <protection locked="0" hidden="0"/>
    </xf>
    <xf numFmtId="0" fontId="2" fillId="8" borderId="22" applyAlignment="1" applyProtection="1" pivotButton="0" quotePrefix="0" xfId="0">
      <alignment horizontal="center" vertical="center"/>
      <protection locked="0" hidden="0"/>
    </xf>
    <xf numFmtId="1" fontId="2" fillId="8" borderId="4" applyAlignment="1" applyProtection="1" pivotButton="0" quotePrefix="0" xfId="0">
      <alignment horizontal="center" vertical="center"/>
      <protection locked="0" hidden="0"/>
    </xf>
    <xf numFmtId="1" fontId="2" fillId="8" borderId="5" applyAlignment="1" applyProtection="1" pivotButton="0" quotePrefix="0" xfId="0">
      <alignment horizontal="center" vertical="center"/>
      <protection locked="0" hidden="0"/>
    </xf>
    <xf numFmtId="1" fontId="2" fillId="8" borderId="21" applyAlignment="1" applyProtection="1" pivotButton="0" quotePrefix="0" xfId="0">
      <alignment horizontal="center" vertical="center"/>
      <protection locked="0" hidden="0"/>
    </xf>
    <xf numFmtId="1" fontId="2" fillId="8" borderId="22" applyAlignment="1" applyProtection="1" pivotButton="0" quotePrefix="0" xfId="0">
      <alignment horizontal="center" vertical="center"/>
      <protection locked="0" hidden="0"/>
    </xf>
    <xf numFmtId="0" fontId="2" fillId="0" borderId="4" applyAlignment="1" pivotButton="0" quotePrefix="0" xfId="0">
      <alignment wrapText="1"/>
    </xf>
    <xf numFmtId="0" fontId="2" fillId="0" borderId="15" applyAlignment="1" pivotButton="0" quotePrefix="0" xfId="0">
      <alignment wrapText="1"/>
    </xf>
    <xf numFmtId="0" fontId="2" fillId="13" borderId="15" applyAlignment="1" pivotButton="0" quotePrefix="0" xfId="0">
      <alignment horizontal="center"/>
    </xf>
    <xf numFmtId="0" fontId="2" fillId="13" borderId="15" applyAlignment="1" applyProtection="1" pivotButton="0" quotePrefix="0" xfId="0">
      <alignment horizontal="center" vertical="center"/>
      <protection locked="0" hidden="0"/>
    </xf>
    <xf numFmtId="0" fontId="2" fillId="8" borderId="15" applyAlignment="1" applyProtection="1" pivotButton="0" quotePrefix="0" xfId="0">
      <alignment horizontal="center" vertical="center"/>
      <protection locked="0" hidden="0"/>
    </xf>
    <xf numFmtId="0" fontId="2" fillId="8" borderId="16" applyAlignment="1" applyProtection="1" pivotButton="0" quotePrefix="0" xfId="0">
      <alignment horizontal="center" vertical="center"/>
      <protection locked="0" hidden="0"/>
    </xf>
    <xf numFmtId="0" fontId="2" fillId="0" borderId="21" applyAlignment="1" pivotButton="0" quotePrefix="0" xfId="0">
      <alignment wrapText="1"/>
    </xf>
    <xf numFmtId="0" fontId="2" fillId="15" borderId="47" applyAlignment="1" pivotButton="0" quotePrefix="0" xfId="0">
      <alignment horizontal="center" vertical="center"/>
    </xf>
    <xf numFmtId="0" fontId="2" fillId="0" borderId="48" pivotButton="0" quotePrefix="0" xfId="0"/>
    <xf numFmtId="0" fontId="2" fillId="0" borderId="48" applyAlignment="1" pivotButton="0" quotePrefix="0" xfId="0">
      <alignment horizontal="center"/>
    </xf>
    <xf numFmtId="0" fontId="2" fillId="8" borderId="48" applyAlignment="1" applyProtection="1" pivotButton="0" quotePrefix="0" xfId="0">
      <alignment horizontal="center" vertical="center"/>
      <protection locked="0" hidden="0"/>
    </xf>
    <xf numFmtId="0" fontId="2" fillId="0" borderId="48" applyAlignment="1" pivotButton="0" quotePrefix="1" xfId="0">
      <alignment horizontal="center"/>
    </xf>
    <xf numFmtId="16" fontId="2" fillId="0" borderId="48" applyAlignment="1" pivotButton="0" quotePrefix="1" xfId="0">
      <alignment horizontal="center"/>
    </xf>
    <xf numFmtId="0" fontId="2" fillId="8" borderId="49" applyAlignment="1" applyProtection="1" pivotButton="0" quotePrefix="0" xfId="0">
      <alignment horizontal="center" vertical="center"/>
      <protection locked="0" hidden="0"/>
    </xf>
    <xf numFmtId="0" fontId="2" fillId="13" borderId="4" applyAlignment="1" pivotButton="0" quotePrefix="0" xfId="0">
      <alignment horizontal="center" vertical="center"/>
    </xf>
    <xf numFmtId="0" fontId="2" fillId="0" borderId="8" pivotButton="0" quotePrefix="0" xfId="0"/>
    <xf numFmtId="0" fontId="2" fillId="8" borderId="8" applyAlignment="1" applyProtection="1" pivotButton="0" quotePrefix="0" xfId="0">
      <alignment horizontal="center" vertical="center"/>
      <protection locked="0" hidden="0"/>
    </xf>
    <xf numFmtId="0" fontId="2" fillId="8" borderId="9" applyAlignment="1" applyProtection="1" pivotButton="0" quotePrefix="0" xfId="0">
      <alignment horizontal="center" vertical="center"/>
      <protection locked="0" hidden="0"/>
    </xf>
    <xf numFmtId="0" fontId="2" fillId="0" borderId="15" pivotButton="0" quotePrefix="0" xfId="0"/>
    <xf numFmtId="0" fontId="2" fillId="0" borderId="15" applyAlignment="1" pivotButton="0" quotePrefix="0" xfId="0">
      <alignment horizontal="center" vertical="center" wrapText="1"/>
    </xf>
    <xf numFmtId="0" fontId="2" fillId="0" borderId="15" applyAlignment="1" pivotButton="0" quotePrefix="0" xfId="0">
      <alignment vertical="center"/>
    </xf>
    <xf numFmtId="0" fontId="2" fillId="19" borderId="0" pivotButton="0" quotePrefix="0" xfId="0"/>
    <xf numFmtId="0" fontId="2" fillId="19" borderId="0" applyAlignment="1" pivotButton="0" quotePrefix="0" xfId="0">
      <alignment horizontal="center" vertical="center"/>
    </xf>
    <xf numFmtId="0" fontId="4" fillId="0" borderId="0" pivotButton="0" quotePrefix="0" xfId="4"/>
    <xf numFmtId="0" fontId="2" fillId="0" borderId="0" applyAlignment="1" pivotButton="0" quotePrefix="0" xfId="0">
      <alignment horizontal="center"/>
    </xf>
    <xf numFmtId="165" fontId="2" fillId="0" borderId="0" applyAlignment="1" pivotButton="0" quotePrefix="0" xfId="0">
      <alignment horizontal="center" vertical="center"/>
    </xf>
    <xf numFmtId="0" fontId="5" fillId="3" borderId="31" pivotButton="0" quotePrefix="0" xfId="0"/>
    <xf numFmtId="0" fontId="5" fillId="3" borderId="26" pivotButton="0" quotePrefix="0" xfId="0"/>
    <xf numFmtId="0" fontId="5" fillId="3" borderId="30" pivotButton="0" quotePrefix="0" xfId="0"/>
    <xf numFmtId="166" fontId="23" fillId="0" borderId="47" pivotButton="0" quotePrefix="0" xfId="2"/>
    <xf numFmtId="166" fontId="23" fillId="0" borderId="48" pivotButton="0" quotePrefix="0" xfId="2"/>
    <xf numFmtId="166" fontId="23" fillId="0" borderId="49" pivotButton="0" quotePrefix="0" xfId="2"/>
    <xf numFmtId="9" fontId="4" fillId="0" borderId="15" applyAlignment="1" pivotButton="0" quotePrefix="0" xfId="2">
      <alignment horizontal="center"/>
    </xf>
    <xf numFmtId="0" fontId="2" fillId="28" borderId="0" pivotButton="0" quotePrefix="0" xfId="0"/>
    <xf numFmtId="0" fontId="2" fillId="28" borderId="0" applyAlignment="1" pivotButton="0" quotePrefix="0" xfId="0">
      <alignment horizontal="center" vertical="center"/>
    </xf>
    <xf numFmtId="0" fontId="0" fillId="31" borderId="0" pivotButton="0" quotePrefix="0" xfId="0"/>
    <xf numFmtId="0" fontId="2" fillId="31" borderId="0" pivotButton="0" quotePrefix="0" xfId="0"/>
    <xf numFmtId="0" fontId="2" fillId="31" borderId="0" applyAlignment="1" pivotButton="0" quotePrefix="0" xfId="0">
      <alignment horizontal="center" vertical="center"/>
    </xf>
    <xf numFmtId="0" fontId="2" fillId="31" borderId="15" applyAlignment="1" pivotButton="0" quotePrefix="0" xfId="0">
      <alignment horizontal="center" vertical="center"/>
    </xf>
    <xf numFmtId="0" fontId="2" fillId="30" borderId="15" applyAlignment="1" pivotButton="0" quotePrefix="0" xfId="0">
      <alignment horizontal="center" vertical="center"/>
    </xf>
    <xf numFmtId="0" fontId="7" fillId="32" borderId="35" pivotButton="0" quotePrefix="0" xfId="0"/>
    <xf numFmtId="0" fontId="7" fillId="32" borderId="26" pivotButton="0" quotePrefix="0" xfId="0"/>
    <xf numFmtId="0" fontId="7" fillId="32" borderId="10" pivotButton="0" quotePrefix="0" xfId="0"/>
    <xf numFmtId="0" fontId="7" fillId="33" borderId="0" pivotButton="0" quotePrefix="0" xfId="0"/>
    <xf numFmtId="0" fontId="2" fillId="32" borderId="15" pivotButton="0" quotePrefix="0" xfId="0"/>
    <xf numFmtId="9" fontId="2" fillId="0" borderId="0" applyAlignment="1" pivotButton="0" quotePrefix="0" xfId="2">
      <alignment horizontal="center"/>
    </xf>
    <xf numFmtId="0" fontId="5" fillId="3" borderId="2" applyAlignment="1" applyProtection="1" pivotButton="0" quotePrefix="0" xfId="4">
      <alignment horizontal="center" vertical="center"/>
      <protection locked="1" hidden="1"/>
    </xf>
    <xf numFmtId="0" fontId="6" fillId="4" borderId="6" applyAlignment="1" applyProtection="1" pivotButton="0" quotePrefix="0" xfId="4">
      <alignment horizontal="center" vertical="center"/>
      <protection locked="1" hidden="1"/>
    </xf>
    <xf numFmtId="0" fontId="6" fillId="4" borderId="7" applyAlignment="1" applyProtection="1" pivotButton="0" quotePrefix="0" xfId="4">
      <alignment horizontal="center" vertical="center"/>
      <protection locked="1" hidden="1"/>
    </xf>
    <xf numFmtId="0" fontId="6" fillId="4" borderId="8" applyAlignment="1" applyProtection="1" pivotButton="0" quotePrefix="0" xfId="0">
      <alignment horizontal="center" vertical="center"/>
      <protection locked="1" hidden="1"/>
    </xf>
    <xf numFmtId="0" fontId="6" fillId="4" borderId="8" applyAlignment="1" applyProtection="1" pivotButton="0" quotePrefix="0" xfId="4">
      <alignment horizontal="center" vertical="center"/>
      <protection locked="1" hidden="1"/>
    </xf>
    <xf numFmtId="0" fontId="5" fillId="26" borderId="8" applyAlignment="1" applyProtection="1" pivotButton="0" quotePrefix="0" xfId="4">
      <alignment horizontal="center" vertical="center"/>
      <protection locked="1" hidden="1"/>
    </xf>
    <xf numFmtId="0" fontId="6" fillId="4" borderId="9" applyAlignment="1" applyProtection="1" pivotButton="0" quotePrefix="0" xfId="4">
      <alignment horizontal="center" vertical="center"/>
      <protection locked="1" hidden="1"/>
    </xf>
    <xf numFmtId="0" fontId="4" fillId="29" borderId="62" applyAlignment="1" applyProtection="1" pivotButton="0" quotePrefix="0" xfId="4">
      <alignment horizontal="center" vertical="center"/>
      <protection locked="1" hidden="1"/>
    </xf>
    <xf numFmtId="164" fontId="4" fillId="6" borderId="11" applyAlignment="1" applyProtection="1" pivotButton="0" quotePrefix="0" xfId="4">
      <alignment horizontal="center" vertical="center"/>
      <protection locked="1" hidden="1"/>
    </xf>
    <xf numFmtId="164" fontId="4" fillId="0" borderId="62" applyAlignment="1" applyProtection="1" pivotButton="0" quotePrefix="0" xfId="4">
      <alignment horizontal="center" vertical="center"/>
      <protection locked="1" hidden="1"/>
    </xf>
    <xf numFmtId="164" fontId="4" fillId="0" borderId="4" applyAlignment="1" applyProtection="1" pivotButton="0" quotePrefix="0" xfId="4">
      <alignment horizontal="center" vertical="center"/>
      <protection locked="1" hidden="1"/>
    </xf>
    <xf numFmtId="1" fontId="4" fillId="0" borderId="4" applyAlignment="1" applyProtection="1" pivotButton="0" quotePrefix="0" xfId="4">
      <alignment horizontal="center" vertical="center"/>
      <protection locked="1" hidden="1"/>
    </xf>
    <xf numFmtId="1" fontId="4" fillId="27" borderId="4" applyAlignment="1" applyProtection="1" pivotButton="0" quotePrefix="0" xfId="4">
      <alignment horizontal="center" vertical="center"/>
      <protection locked="1" hidden="1"/>
    </xf>
    <xf numFmtId="1" fontId="4" fillId="5" borderId="5" applyAlignment="1" applyProtection="1" pivotButton="0" quotePrefix="0" xfId="4">
      <alignment horizontal="center" vertical="center"/>
      <protection locked="1" hidden="1"/>
    </xf>
    <xf numFmtId="164" fontId="4" fillId="6" borderId="3" applyAlignment="1" applyProtection="1" pivotButton="0" quotePrefix="0" xfId="4">
      <alignment horizontal="center" vertical="center"/>
      <protection locked="1" hidden="1"/>
    </xf>
    <xf numFmtId="1" fontId="4" fillId="5" borderId="4" applyAlignment="1" applyProtection="1" pivotButton="0" quotePrefix="0" xfId="4">
      <alignment horizontal="center" vertical="center"/>
      <protection locked="1" hidden="1"/>
    </xf>
    <xf numFmtId="0" fontId="4" fillId="29" borderId="13" applyAlignment="1" applyProtection="1" pivotButton="0" quotePrefix="0" xfId="4">
      <alignment horizontal="center" vertical="center"/>
      <protection locked="1" hidden="1"/>
    </xf>
    <xf numFmtId="164" fontId="4" fillId="6" borderId="14" applyAlignment="1" applyProtection="1" pivotButton="0" quotePrefix="0" xfId="4">
      <alignment horizontal="center" vertical="center"/>
      <protection locked="1" hidden="1"/>
    </xf>
    <xf numFmtId="164" fontId="4" fillId="0" borderId="13" applyAlignment="1" applyProtection="1" pivotButton="0" quotePrefix="0" xfId="4">
      <alignment horizontal="center" vertical="center"/>
      <protection locked="1" hidden="1"/>
    </xf>
    <xf numFmtId="164" fontId="4" fillId="0" borderId="15" applyAlignment="1" applyProtection="1" pivotButton="0" quotePrefix="0" xfId="4">
      <alignment horizontal="center" vertical="center"/>
      <protection locked="1" hidden="1"/>
    </xf>
    <xf numFmtId="1" fontId="4" fillId="0" borderId="15" applyAlignment="1" applyProtection="1" pivotButton="0" quotePrefix="0" xfId="4">
      <alignment horizontal="center" vertical="center"/>
      <protection locked="1" hidden="1"/>
    </xf>
    <xf numFmtId="1" fontId="4" fillId="27" borderId="15" applyAlignment="1" applyProtection="1" pivotButton="0" quotePrefix="0" xfId="4">
      <alignment horizontal="center" vertical="center"/>
      <protection locked="1" hidden="1"/>
    </xf>
    <xf numFmtId="1" fontId="4" fillId="5" borderId="16" applyAlignment="1" applyProtection="1" pivotButton="0" quotePrefix="0" xfId="4">
      <alignment horizontal="center" vertical="center"/>
      <protection locked="1" hidden="1"/>
    </xf>
    <xf numFmtId="164" fontId="4" fillId="6" borderId="17" applyAlignment="1" applyProtection="1" pivotButton="0" quotePrefix="0" xfId="4">
      <alignment horizontal="center" vertical="center"/>
      <protection locked="1" hidden="1"/>
    </xf>
    <xf numFmtId="1" fontId="4" fillId="5" borderId="15" applyAlignment="1" applyProtection="1" pivotButton="0" quotePrefix="0" xfId="4">
      <alignment horizontal="center" vertical="center"/>
      <protection locked="1" hidden="1"/>
    </xf>
    <xf numFmtId="1" fontId="4" fillId="6" borderId="14" applyAlignment="1" applyProtection="1" pivotButton="0" quotePrefix="0" xfId="4">
      <alignment horizontal="center" vertical="center"/>
      <protection locked="1" hidden="1"/>
    </xf>
    <xf numFmtId="1" fontId="4" fillId="7" borderId="15" applyAlignment="1" applyProtection="1" pivotButton="0" quotePrefix="0" xfId="4">
      <alignment horizontal="center" vertical="center"/>
      <protection locked="1" hidden="1"/>
    </xf>
    <xf numFmtId="1" fontId="4" fillId="6" borderId="17" applyAlignment="1" applyProtection="1" pivotButton="0" quotePrefix="0" xfId="4">
      <alignment horizontal="center" vertical="center"/>
      <protection locked="1" hidden="1"/>
    </xf>
    <xf numFmtId="0" fontId="4" fillId="29" borderId="19" applyAlignment="1" applyProtection="1" pivotButton="0" quotePrefix="0" xfId="4">
      <alignment horizontal="center" vertical="center"/>
      <protection locked="1" hidden="1"/>
    </xf>
    <xf numFmtId="1" fontId="4" fillId="6" borderId="20" applyAlignment="1" applyProtection="1" pivotButton="0" quotePrefix="0" xfId="4">
      <alignment horizontal="center" vertical="center"/>
      <protection locked="1" hidden="1"/>
    </xf>
    <xf numFmtId="164" fontId="4" fillId="0" borderId="19" applyAlignment="1" applyProtection="1" pivotButton="0" quotePrefix="0" xfId="4">
      <alignment horizontal="center" vertical="center"/>
      <protection locked="1" hidden="1"/>
    </xf>
    <xf numFmtId="164" fontId="4" fillId="0" borderId="21" applyAlignment="1" applyProtection="1" pivotButton="0" quotePrefix="0" xfId="4">
      <alignment horizontal="center" vertical="center"/>
      <protection locked="1" hidden="1"/>
    </xf>
    <xf numFmtId="1" fontId="4" fillId="7" borderId="21" applyAlignment="1" applyProtection="1" pivotButton="0" quotePrefix="0" xfId="4">
      <alignment horizontal="center" vertical="center"/>
      <protection locked="1" hidden="1"/>
    </xf>
    <xf numFmtId="1" fontId="4" fillId="6" borderId="21" applyAlignment="1" applyProtection="1" pivotButton="0" quotePrefix="0" xfId="4">
      <alignment horizontal="center" vertical="center"/>
      <protection locked="1" hidden="1"/>
    </xf>
    <xf numFmtId="1" fontId="4" fillId="5" borderId="22" applyAlignment="1" applyProtection="1" pivotButton="0" quotePrefix="0" xfId="4">
      <alignment horizontal="center" vertical="center"/>
      <protection locked="1" hidden="1"/>
    </xf>
    <xf numFmtId="164" fontId="4" fillId="6" borderId="23" applyAlignment="1" applyProtection="1" pivotButton="0" quotePrefix="0" xfId="4">
      <alignment horizontal="center" vertical="center"/>
      <protection locked="1" hidden="1"/>
    </xf>
    <xf numFmtId="1" fontId="4" fillId="5" borderId="21" applyAlignment="1" applyProtection="1" pivotButton="0" quotePrefix="0" xfId="4">
      <alignment horizontal="center" vertical="center"/>
      <protection locked="1" hidden="1"/>
    </xf>
    <xf numFmtId="164" fontId="4" fillId="6" borderId="20" applyAlignment="1" applyProtection="1" pivotButton="0" quotePrefix="0" xfId="4">
      <alignment horizontal="center" vertical="center"/>
      <protection locked="1" hidden="1"/>
    </xf>
    <xf numFmtId="1" fontId="4" fillId="8" borderId="5" applyAlignment="1" applyProtection="1" pivotButton="0" quotePrefix="0" xfId="0">
      <alignment horizontal="center" vertical="center"/>
      <protection locked="1" hidden="1"/>
    </xf>
    <xf numFmtId="1" fontId="4" fillId="6" borderId="3" applyAlignment="1" applyProtection="1" pivotButton="0" quotePrefix="0" xfId="4">
      <alignment horizontal="center" vertical="center"/>
      <protection locked="1" hidden="1"/>
    </xf>
    <xf numFmtId="1" fontId="4" fillId="8" borderId="4" applyAlignment="1" applyProtection="1" pivotButton="0" quotePrefix="0" xfId="0">
      <alignment horizontal="center" vertical="center"/>
      <protection locked="1" hidden="1"/>
    </xf>
    <xf numFmtId="1" fontId="4" fillId="6" borderId="11" applyAlignment="1" applyProtection="1" pivotButton="0" quotePrefix="0" xfId="4">
      <alignment horizontal="center" vertical="center"/>
      <protection locked="1" hidden="1"/>
    </xf>
    <xf numFmtId="1" fontId="4" fillId="8" borderId="16" applyAlignment="1" applyProtection="1" pivotButton="0" quotePrefix="0" xfId="0">
      <alignment horizontal="center" vertical="center"/>
      <protection locked="1" hidden="1"/>
    </xf>
    <xf numFmtId="1" fontId="4" fillId="8" borderId="15" applyAlignment="1" applyProtection="1" pivotButton="0" quotePrefix="0" xfId="0">
      <alignment horizontal="center" vertical="center"/>
      <protection locked="1" hidden="1"/>
    </xf>
    <xf numFmtId="0" fontId="4" fillId="29" borderId="24" applyAlignment="1" applyProtection="1" pivotButton="0" quotePrefix="0" xfId="4">
      <alignment horizontal="center" vertical="center"/>
      <protection locked="1" hidden="1"/>
    </xf>
    <xf numFmtId="164" fontId="4" fillId="6" borderId="25" applyAlignment="1" applyProtection="1" pivotButton="0" quotePrefix="0" xfId="4">
      <alignment horizontal="center" vertical="center"/>
      <protection locked="1" hidden="1"/>
    </xf>
    <xf numFmtId="164" fontId="4" fillId="0" borderId="24" applyAlignment="1" applyProtection="1" pivotButton="0" quotePrefix="0" xfId="4">
      <alignment horizontal="center" vertical="center"/>
      <protection locked="1" hidden="1"/>
    </xf>
    <xf numFmtId="164" fontId="4" fillId="0" borderId="8" applyAlignment="1" applyProtection="1" pivotButton="0" quotePrefix="0" xfId="4">
      <alignment horizontal="center" vertical="center"/>
      <protection locked="1" hidden="1"/>
    </xf>
    <xf numFmtId="1" fontId="4" fillId="0" borderId="8" applyAlignment="1" applyProtection="1" pivotButton="0" quotePrefix="0" xfId="4">
      <alignment horizontal="center" vertical="center"/>
      <protection locked="1" hidden="1"/>
    </xf>
    <xf numFmtId="1" fontId="4" fillId="27" borderId="8" applyAlignment="1" applyProtection="1" pivotButton="0" quotePrefix="0" xfId="4">
      <alignment horizontal="center" vertical="center"/>
      <protection locked="1" hidden="1"/>
    </xf>
    <xf numFmtId="1" fontId="4" fillId="8" borderId="9" applyAlignment="1" applyProtection="1" pivotButton="0" quotePrefix="0" xfId="0">
      <alignment horizontal="center" vertical="center"/>
      <protection locked="1" hidden="1"/>
    </xf>
    <xf numFmtId="1" fontId="4" fillId="6" borderId="7" applyAlignment="1" applyProtection="1" pivotButton="0" quotePrefix="0" xfId="4">
      <alignment horizontal="center" vertical="center"/>
      <protection locked="1" hidden="1"/>
    </xf>
    <xf numFmtId="1" fontId="4" fillId="8" borderId="8" applyAlignment="1" applyProtection="1" pivotButton="0" quotePrefix="0" xfId="0">
      <alignment horizontal="center" vertical="center"/>
      <protection locked="1" hidden="1"/>
    </xf>
    <xf numFmtId="1" fontId="4" fillId="6" borderId="25" applyAlignment="1" applyProtection="1" pivotButton="0" quotePrefix="0" xfId="4">
      <alignment horizontal="center" vertical="center"/>
      <protection locked="1" hidden="1"/>
    </xf>
    <xf numFmtId="9" fontId="27" fillId="0" borderId="26" applyAlignment="1" applyProtection="1" pivotButton="0" quotePrefix="0" xfId="5">
      <alignment horizontal="center" vertical="center"/>
      <protection locked="1" hidden="1"/>
    </xf>
    <xf numFmtId="164" fontId="4" fillId="0" borderId="27" applyAlignment="1" applyProtection="1" pivotButton="0" quotePrefix="0" xfId="4">
      <alignment horizontal="center" vertical="center"/>
      <protection locked="1" hidden="1"/>
    </xf>
    <xf numFmtId="164" fontId="4" fillId="0" borderId="28" applyAlignment="1" applyProtection="1" pivotButton="0" quotePrefix="0" xfId="4">
      <alignment horizontal="center" vertical="center"/>
      <protection locked="1" hidden="1"/>
    </xf>
    <xf numFmtId="9" fontId="27" fillId="0" borderId="4" applyAlignment="1" applyProtection="1" pivotButton="0" quotePrefix="0" xfId="5">
      <alignment horizontal="center" vertical="center"/>
      <protection locked="1" hidden="1"/>
    </xf>
    <xf numFmtId="0" fontId="2" fillId="0" borderId="4" applyAlignment="1" applyProtection="1" pivotButton="0" quotePrefix="0" xfId="4">
      <alignment horizontal="center" vertical="center"/>
      <protection locked="1" hidden="1"/>
    </xf>
    <xf numFmtId="1" fontId="4" fillId="8" borderId="29" applyAlignment="1" applyProtection="1" pivotButton="0" quotePrefix="0" xfId="0">
      <alignment horizontal="center" vertical="center"/>
      <protection locked="1" hidden="1"/>
    </xf>
    <xf numFmtId="1" fontId="4" fillId="6" borderId="30" applyAlignment="1" applyProtection="1" pivotButton="0" quotePrefix="0" xfId="4">
      <alignment horizontal="center" vertical="center"/>
      <protection locked="1" hidden="1"/>
    </xf>
    <xf numFmtId="1" fontId="4" fillId="0" borderId="28" applyAlignment="1" applyProtection="1" pivotButton="0" quotePrefix="0" xfId="4">
      <alignment horizontal="center" vertical="center"/>
      <protection locked="1" hidden="1"/>
    </xf>
    <xf numFmtId="1" fontId="4" fillId="27" borderId="28" applyAlignment="1" applyProtection="1" pivotButton="0" quotePrefix="0" xfId="4">
      <alignment horizontal="center" vertical="center"/>
      <protection locked="1" hidden="1"/>
    </xf>
    <xf numFmtId="1" fontId="4" fillId="8" borderId="28" applyAlignment="1" applyProtection="1" pivotButton="0" quotePrefix="0" xfId="0">
      <alignment horizontal="center" vertical="center"/>
      <protection locked="1" hidden="1"/>
    </xf>
    <xf numFmtId="1" fontId="4" fillId="6" borderId="31" applyAlignment="1" applyProtection="1" pivotButton="0" quotePrefix="0" xfId="4">
      <alignment horizontal="center" vertical="center"/>
      <protection locked="1" hidden="1"/>
    </xf>
    <xf numFmtId="0" fontId="2" fillId="0" borderId="0" applyAlignment="1" applyProtection="1" pivotButton="0" quotePrefix="0" xfId="4">
      <alignment horizontal="center" vertical="center"/>
      <protection locked="1" hidden="1"/>
    </xf>
    <xf numFmtId="0" fontId="2" fillId="0" borderId="15" applyAlignment="1" applyProtection="1" pivotButton="0" quotePrefix="0" xfId="4">
      <alignment horizontal="center" vertical="center"/>
      <protection locked="1" hidden="1"/>
    </xf>
    <xf numFmtId="0" fontId="2" fillId="0" borderId="32" applyAlignment="1" applyProtection="1" pivotButton="0" quotePrefix="0" xfId="4">
      <alignment horizontal="center" vertical="center"/>
      <protection locked="1" hidden="1"/>
    </xf>
    <xf numFmtId="0" fontId="2" fillId="0" borderId="21" applyAlignment="1" applyProtection="1" pivotButton="0" quotePrefix="0" xfId="4">
      <alignment horizontal="center" vertical="center"/>
      <protection locked="1" hidden="1"/>
    </xf>
    <xf numFmtId="1" fontId="4" fillId="8" borderId="22" applyAlignment="1" applyProtection="1" pivotButton="0" quotePrefix="0" xfId="0">
      <alignment horizontal="center" vertical="center"/>
      <protection locked="1" hidden="1"/>
    </xf>
    <xf numFmtId="1" fontId="4" fillId="6" borderId="23" applyAlignment="1" applyProtection="1" pivotButton="0" quotePrefix="0" xfId="4">
      <alignment horizontal="center" vertical="center"/>
      <protection locked="1" hidden="1"/>
    </xf>
    <xf numFmtId="1" fontId="4" fillId="0" borderId="21" applyAlignment="1" applyProtection="1" pivotButton="0" quotePrefix="0" xfId="4">
      <alignment horizontal="center" vertical="center"/>
      <protection locked="1" hidden="1"/>
    </xf>
    <xf numFmtId="1" fontId="4" fillId="27" borderId="21" applyAlignment="1" applyProtection="1" pivotButton="0" quotePrefix="0" xfId="4">
      <alignment horizontal="center" vertical="center"/>
      <protection locked="1" hidden="1"/>
    </xf>
    <xf numFmtId="1" fontId="4" fillId="8" borderId="21" applyAlignment="1" applyProtection="1" pivotButton="0" quotePrefix="0" xfId="0">
      <alignment horizontal="center" vertical="center"/>
      <protection locked="1" hidden="1"/>
    </xf>
    <xf numFmtId="0" fontId="17" fillId="0" borderId="0" applyAlignment="1" applyProtection="1" pivotButton="0" quotePrefix="0" xfId="0">
      <alignment horizontal="center" vertical="center" wrapText="1"/>
      <protection locked="0" hidden="0"/>
    </xf>
    <xf numFmtId="2" fontId="17" fillId="0" borderId="0" applyAlignment="1" applyProtection="1" pivotButton="0" quotePrefix="0" xfId="0">
      <alignment horizontal="center" vertical="center"/>
      <protection locked="0" hidden="0"/>
    </xf>
    <xf numFmtId="0" fontId="17" fillId="0" borderId="0" applyAlignment="1" applyProtection="1" pivotButton="0" quotePrefix="0" xfId="0">
      <alignment horizontal="left" vertical="center" wrapText="1"/>
      <protection locked="0" hidden="0"/>
    </xf>
    <xf numFmtId="0" fontId="2" fillId="19" borderId="0" applyProtection="1" pivotButton="0" quotePrefix="0" xfId="0">
      <protection locked="0" hidden="0"/>
    </xf>
    <xf numFmtId="0" fontId="2" fillId="19" borderId="0" applyAlignment="1" applyProtection="1" pivotButton="0" quotePrefix="0" xfId="0">
      <alignment horizontal="center" vertical="center"/>
      <protection locked="0" hidden="0"/>
    </xf>
    <xf numFmtId="0" fontId="2" fillId="0" borderId="0" applyProtection="1" pivotButton="0" quotePrefix="0" xfId="0">
      <protection locked="0" hidden="0"/>
    </xf>
    <xf numFmtId="0" fontId="2" fillId="0" borderId="0" applyAlignment="1" applyProtection="1" pivotButton="0" quotePrefix="0" xfId="0">
      <alignment horizontal="center" vertical="center"/>
      <protection locked="0" hidden="0"/>
    </xf>
    <xf numFmtId="0" fontId="6" fillId="24" borderId="15" applyAlignment="1" applyProtection="1" pivotButton="0" quotePrefix="0" xfId="0">
      <alignment horizontal="left"/>
      <protection locked="0" hidden="0"/>
    </xf>
    <xf numFmtId="2" fontId="4" fillId="22" borderId="15" applyAlignment="1" applyProtection="1" pivotButton="0" quotePrefix="0" xfId="0">
      <alignment horizontal="center" vertical="center"/>
      <protection locked="0" hidden="0"/>
    </xf>
    <xf numFmtId="166" fontId="4" fillId="22" borderId="15" applyAlignment="1" applyProtection="1" pivotButton="0" quotePrefix="0" xfId="5">
      <alignment horizontal="center" vertical="center"/>
      <protection locked="0" hidden="0"/>
    </xf>
    <xf numFmtId="9" fontId="17" fillId="0" borderId="0" applyAlignment="1" applyProtection="1" pivotButton="0" quotePrefix="0" xfId="5">
      <alignment horizontal="center" vertical="center"/>
      <protection locked="0" hidden="0"/>
    </xf>
    <xf numFmtId="0" fontId="24" fillId="0" borderId="15" applyAlignment="1" applyProtection="1" pivotButton="0" quotePrefix="0" xfId="0">
      <alignment horizontal="left" vertical="center"/>
      <protection locked="0" hidden="0"/>
    </xf>
    <xf numFmtId="0" fontId="14" fillId="0" borderId="0" applyProtection="1" pivotButton="0" quotePrefix="0" xfId="0">
      <protection locked="0" hidden="0"/>
    </xf>
    <xf numFmtId="9" fontId="28" fillId="25" borderId="0" applyAlignment="1" applyProtection="1" pivotButton="0" quotePrefix="0" xfId="0">
      <alignment vertical="center"/>
      <protection locked="0" hidden="0"/>
    </xf>
    <xf numFmtId="9" fontId="2" fillId="0" borderId="0" applyProtection="1" pivotButton="0" quotePrefix="0" xfId="0">
      <protection locked="0" hidden="0"/>
    </xf>
    <xf numFmtId="1" fontId="2" fillId="0" borderId="0" applyProtection="1" pivotButton="0" quotePrefix="0" xfId="0">
      <protection locked="0" hidden="0"/>
    </xf>
    <xf numFmtId="0" fontId="19" fillId="0" borderId="0" applyAlignment="1" applyProtection="1" pivotButton="0" quotePrefix="0" xfId="0">
      <alignment horizontal="left" vertical="center"/>
      <protection locked="0" hidden="0"/>
    </xf>
    <xf numFmtId="9" fontId="19" fillId="0" borderId="0" applyAlignment="1" applyProtection="1" pivotButton="0" quotePrefix="0" xfId="0">
      <alignment horizontal="center" vertical="center"/>
      <protection locked="0" hidden="0"/>
    </xf>
    <xf numFmtId="0" fontId="9" fillId="0" borderId="0" applyAlignment="1" applyProtection="1" pivotButton="0" quotePrefix="0" xfId="0">
      <alignment horizontal="center" vertical="center"/>
      <protection locked="0" hidden="0"/>
    </xf>
    <xf numFmtId="2" fontId="20" fillId="0" borderId="0" applyAlignment="1" applyProtection="1" pivotButton="0" quotePrefix="0" xfId="0">
      <alignment horizontal="center" vertical="center"/>
      <protection locked="0" hidden="0"/>
    </xf>
    <xf numFmtId="2" fontId="20" fillId="20" borderId="0" applyAlignment="1" applyProtection="1" pivotButton="0" quotePrefix="0" xfId="0">
      <alignment horizontal="center" vertical="center"/>
      <protection locked="0" hidden="0"/>
    </xf>
    <xf numFmtId="0" fontId="5" fillId="10" borderId="0" applyProtection="1" pivotButton="0" quotePrefix="0" xfId="0">
      <protection locked="0" hidden="0"/>
    </xf>
    <xf numFmtId="0" fontId="16" fillId="0" borderId="0" applyAlignment="1" applyProtection="1" pivotButton="0" quotePrefix="0" xfId="0">
      <alignment horizontal="center" vertical="center"/>
      <protection locked="0" hidden="0"/>
    </xf>
    <xf numFmtId="0" fontId="16" fillId="0" borderId="0" applyAlignment="1" applyProtection="1" pivotButton="0" quotePrefix="0" xfId="0">
      <alignment horizontal="center" vertical="center" wrapText="1"/>
      <protection locked="0" hidden="0"/>
    </xf>
    <xf numFmtId="0" fontId="21" fillId="0" borderId="0" applyAlignment="1" applyProtection="1" pivotButton="0" quotePrefix="0" xfId="0">
      <alignment horizontal="center" vertical="center" wrapText="1"/>
      <protection locked="0" hidden="0"/>
    </xf>
    <xf numFmtId="49" fontId="13" fillId="0" borderId="0" applyProtection="1" pivotButton="0" quotePrefix="1" xfId="0">
      <protection locked="0" hidden="0"/>
    </xf>
    <xf numFmtId="0" fontId="18" fillId="0" borderId="0" applyProtection="1" pivotButton="0" quotePrefix="0" xfId="0">
      <protection locked="0" hidden="0"/>
    </xf>
    <xf numFmtId="1" fontId="4" fillId="5" borderId="5" applyAlignment="1" pivotButton="0" quotePrefix="0" xfId="4">
      <alignment horizontal="center"/>
    </xf>
    <xf numFmtId="1" fontId="4" fillId="5" borderId="16" applyAlignment="1" pivotButton="0" quotePrefix="0" xfId="4">
      <alignment horizontal="center"/>
    </xf>
    <xf numFmtId="1" fontId="4" fillId="5" borderId="22" applyAlignment="1" pivotButton="0" quotePrefix="0" xfId="4">
      <alignment horizontal="center"/>
    </xf>
    <xf numFmtId="1" fontId="4" fillId="8" borderId="5" applyAlignment="1" pivotButton="0" quotePrefix="0" xfId="0">
      <alignment horizontal="center"/>
    </xf>
    <xf numFmtId="1" fontId="4" fillId="8" borderId="16" applyAlignment="1" pivotButton="0" quotePrefix="0" xfId="0">
      <alignment horizontal="center"/>
    </xf>
    <xf numFmtId="1" fontId="4" fillId="8" borderId="9" applyAlignment="1" pivotButton="0" quotePrefix="0" xfId="0">
      <alignment horizontal="center"/>
    </xf>
    <xf numFmtId="1" fontId="4" fillId="8" borderId="29" applyAlignment="1" pivotButton="0" quotePrefix="0" xfId="0">
      <alignment horizontal="center"/>
    </xf>
    <xf numFmtId="1" fontId="4" fillId="8" borderId="22" applyAlignment="1" pivotButton="0" quotePrefix="0" xfId="0">
      <alignment horizontal="center"/>
    </xf>
    <xf numFmtId="9" fontId="4" fillId="0" borderId="0" applyAlignment="1" pivotButton="0" quotePrefix="0" xfId="2">
      <alignment horizontal="center"/>
    </xf>
    <xf numFmtId="2" fontId="4" fillId="34" borderId="15" applyAlignment="1" applyProtection="1" pivotButton="0" quotePrefix="0" xfId="0">
      <alignment horizontal="center" vertical="center"/>
      <protection locked="0" hidden="0"/>
    </xf>
    <xf numFmtId="0" fontId="6" fillId="24" borderId="15" applyAlignment="1" applyProtection="1" pivotButton="0" quotePrefix="0" xfId="0">
      <alignment horizontal="center" vertical="center" wrapText="1"/>
      <protection locked="0" hidden="0"/>
    </xf>
    <xf numFmtId="0" fontId="17" fillId="0" borderId="0" applyAlignment="1" applyProtection="1" pivotButton="0" quotePrefix="0" xfId="0">
      <alignment horizontal="left" vertical="center"/>
      <protection locked="0" hidden="0"/>
    </xf>
    <xf numFmtId="2" fontId="4" fillId="22" borderId="15" applyAlignment="1" applyProtection="1" pivotButton="0" quotePrefix="0" xfId="0">
      <alignment horizontal="center" vertical="center"/>
      <protection locked="1" hidden="1"/>
    </xf>
    <xf numFmtId="2" fontId="24" fillId="0" borderId="15" applyAlignment="1" applyProtection="1" pivotButton="0" quotePrefix="0" xfId="0">
      <alignment horizontal="center" vertical="center"/>
      <protection locked="1" hidden="1"/>
    </xf>
    <xf numFmtId="2" fontId="24" fillId="35" borderId="15" applyAlignment="1" applyProtection="1" pivotButton="0" quotePrefix="0" xfId="0">
      <alignment horizontal="center" vertical="center"/>
      <protection locked="1" hidden="1"/>
    </xf>
    <xf numFmtId="9" fontId="24" fillId="35" borderId="15" applyAlignment="1" applyProtection="1" pivotButton="0" quotePrefix="0" xfId="0">
      <alignment horizontal="center" vertical="center"/>
      <protection locked="1" hidden="1"/>
    </xf>
    <xf numFmtId="2" fontId="31" fillId="0" borderId="15" applyAlignment="1" applyProtection="1" pivotButton="0" quotePrefix="0" xfId="0">
      <alignment horizontal="center" vertical="center"/>
      <protection locked="1" hidden="1"/>
    </xf>
    <xf numFmtId="2" fontId="6" fillId="36" borderId="15" applyAlignment="1" applyProtection="1" pivotButton="0" quotePrefix="0" xfId="0">
      <alignment horizontal="center" vertical="center"/>
      <protection locked="1" hidden="1"/>
    </xf>
    <xf numFmtId="166" fontId="6" fillId="36" borderId="15" applyAlignment="1" applyProtection="1" pivotButton="0" quotePrefix="0" xfId="5">
      <alignment horizontal="center" vertical="center"/>
      <protection locked="1" hidden="1"/>
    </xf>
    <xf numFmtId="0" fontId="17" fillId="0" borderId="0" applyAlignment="1" applyProtection="1" pivotButton="0" quotePrefix="0" xfId="0">
      <alignment horizontal="center" vertical="center"/>
      <protection locked="0" hidden="0"/>
    </xf>
    <xf numFmtId="0" fontId="17" fillId="0" borderId="0" applyAlignment="1" pivotButton="0" quotePrefix="0" xfId="0">
      <alignment horizontal="center" vertical="center" wrapText="1"/>
    </xf>
    <xf numFmtId="0" fontId="17" fillId="0" borderId="0" applyAlignment="1" pivotButton="0" quotePrefix="0" xfId="0">
      <alignment horizontal="center" vertical="center"/>
    </xf>
    <xf numFmtId="0" fontId="6" fillId="24" borderId="8" applyAlignment="1" applyProtection="1" pivotButton="0" quotePrefix="0" xfId="0">
      <alignment horizontal="center" vertical="center" wrapText="1"/>
      <protection locked="0" hidden="0"/>
    </xf>
    <xf numFmtId="0" fontId="15" fillId="0" borderId="0" applyAlignment="1" applyProtection="1" pivotButton="0" quotePrefix="0" xfId="0">
      <alignment horizontal="center" vertical="center"/>
      <protection locked="0" hidden="0"/>
    </xf>
    <xf numFmtId="0" fontId="2" fillId="0" borderId="26" applyAlignment="1" pivotButton="0" quotePrefix="0" xfId="4">
      <alignment horizontal="center"/>
    </xf>
    <xf numFmtId="0" fontId="2" fillId="0" borderId="4" applyAlignment="1" pivotButton="0" quotePrefix="0" xfId="0">
      <alignment horizontal="center" vertical="center"/>
    </xf>
    <xf numFmtId="0" fontId="2" fillId="0" borderId="21" applyAlignment="1" pivotButton="0" quotePrefix="0" xfId="0">
      <alignment horizontal="center" vertical="center"/>
    </xf>
    <xf numFmtId="0" fontId="2" fillId="0" borderId="8" applyAlignment="1" pivotButton="0" quotePrefix="0" xfId="0">
      <alignment horizontal="center" vertical="center"/>
    </xf>
    <xf numFmtId="43" fontId="2" fillId="0" borderId="0" applyProtection="1" pivotButton="0" quotePrefix="0" xfId="1">
      <protection locked="0" hidden="0"/>
    </xf>
    <xf numFmtId="167" fontId="2" fillId="0" borderId="0" applyProtection="1" pivotButton="0" quotePrefix="0" xfId="0">
      <protection locked="0" hidden="0"/>
    </xf>
    <xf numFmtId="0" fontId="2" fillId="31" borderId="0" applyProtection="1" pivotButton="0" quotePrefix="0" xfId="0">
      <protection locked="0" hidden="0"/>
    </xf>
    <xf numFmtId="0" fontId="2" fillId="31" borderId="0" applyAlignment="1" applyProtection="1" pivotButton="0" quotePrefix="0" xfId="0">
      <alignment horizontal="center" vertical="center"/>
      <protection locked="0" hidden="0"/>
    </xf>
    <xf numFmtId="0" fontId="2" fillId="30" borderId="0" applyProtection="1" pivotButton="0" quotePrefix="0" xfId="0">
      <protection locked="0" hidden="0"/>
    </xf>
    <xf numFmtId="0" fontId="2" fillId="30" borderId="0" applyAlignment="1" applyProtection="1" pivotButton="0" quotePrefix="0" xfId="0">
      <alignment horizontal="center" vertical="center"/>
      <protection locked="0" hidden="0"/>
    </xf>
    <xf numFmtId="0" fontId="26" fillId="31" borderId="0" applyProtection="1" pivotButton="0" quotePrefix="0" xfId="0">
      <protection locked="0" hidden="0"/>
    </xf>
    <xf numFmtId="0" fontId="25" fillId="31" borderId="0" applyProtection="1" pivotButton="0" quotePrefix="0" xfId="0">
      <protection locked="0" hidden="0"/>
    </xf>
    <xf numFmtId="2" fontId="9" fillId="22" borderId="15" applyAlignment="1" applyProtection="1" pivotButton="0" quotePrefix="0" xfId="0">
      <alignment horizontal="center" vertical="center"/>
      <protection locked="1" hidden="1"/>
    </xf>
    <xf numFmtId="2" fontId="32" fillId="22" borderId="15" applyAlignment="1" applyProtection="1" pivotButton="0" quotePrefix="0" xfId="0">
      <alignment horizontal="center" vertical="center"/>
      <protection locked="1" hidden="1"/>
    </xf>
    <xf numFmtId="2" fontId="33" fillId="36" borderId="15" applyAlignment="1" applyProtection="1" pivotButton="0" quotePrefix="0" xfId="0">
      <alignment horizontal="center" vertical="center"/>
      <protection locked="1" hidden="1"/>
    </xf>
    <xf numFmtId="166" fontId="33" fillId="36" borderId="15" applyAlignment="1" applyProtection="1" pivotButton="0" quotePrefix="0" xfId="5">
      <alignment horizontal="center" vertical="center"/>
      <protection locked="1" hidden="1"/>
    </xf>
    <xf numFmtId="17" fontId="0" fillId="0" borderId="0" pivotButton="0" quotePrefix="0" xfId="0"/>
    <xf numFmtId="0" fontId="0" fillId="37" borderId="0" pivotButton="0" quotePrefix="0" xfId="0"/>
    <xf numFmtId="2" fontId="34" fillId="0" borderId="0" applyAlignment="1" applyProtection="1" pivotButton="0" quotePrefix="0" xfId="0">
      <alignment horizontal="center" vertical="center"/>
      <protection locked="0" hidden="0"/>
    </xf>
    <xf numFmtId="0" fontId="35" fillId="0" borderId="0" applyAlignment="1" applyProtection="1" pivotButton="0" quotePrefix="0" xfId="0">
      <alignment horizontal="center" vertical="center"/>
      <protection locked="0" hidden="0"/>
    </xf>
    <xf numFmtId="0" fontId="35" fillId="0" borderId="0" applyAlignment="1" applyProtection="1" pivotButton="0" quotePrefix="0" xfId="0">
      <alignment horizontal="left" vertical="center"/>
      <protection locked="0" hidden="0"/>
    </xf>
    <xf numFmtId="0" fontId="35" fillId="0" borderId="0" applyAlignment="1" applyProtection="1" pivotButton="0" quotePrefix="0" xfId="0">
      <alignment horizontal="center" vertical="center" wrapText="1"/>
      <protection locked="0" hidden="0"/>
    </xf>
    <xf numFmtId="2" fontId="35" fillId="0" borderId="0" applyAlignment="1" applyProtection="1" pivotButton="0" quotePrefix="0" xfId="0">
      <alignment horizontal="center" vertical="center"/>
      <protection locked="0" hidden="0"/>
    </xf>
    <xf numFmtId="0" fontId="24" fillId="23" borderId="15" applyAlignment="1" applyProtection="1" pivotButton="0" quotePrefix="0" xfId="0">
      <alignment horizontal="center" vertical="center"/>
      <protection locked="0" hidden="0"/>
    </xf>
    <xf numFmtId="0" fontId="6" fillId="24" borderId="8" applyAlignment="1" applyProtection="1" pivotButton="0" quotePrefix="0" xfId="0">
      <alignment horizontal="center" vertical="center" wrapText="1"/>
      <protection locked="0" hidden="0"/>
    </xf>
    <xf numFmtId="0" fontId="6" fillId="24" borderId="61" applyAlignment="1" applyProtection="1" pivotButton="0" quotePrefix="0" xfId="0">
      <alignment horizontal="center" vertical="center" wrapText="1"/>
      <protection locked="0" hidden="0"/>
    </xf>
    <xf numFmtId="0" fontId="15" fillId="0" borderId="0" applyAlignment="1" applyProtection="1" pivotButton="0" quotePrefix="0" xfId="0">
      <alignment horizontal="center" vertical="center"/>
      <protection locked="0" hidden="0"/>
    </xf>
    <xf numFmtId="0" fontId="6" fillId="32" borderId="8" applyAlignment="1" applyProtection="1" pivotButton="0" quotePrefix="0" xfId="0">
      <alignment horizontal="center" vertical="center" wrapText="1"/>
      <protection locked="0" hidden="0"/>
    </xf>
    <xf numFmtId="0" fontId="6" fillId="32" borderId="61" applyAlignment="1" applyProtection="1" pivotButton="0" quotePrefix="0" xfId="0">
      <alignment horizontal="center" vertical="center" wrapText="1"/>
      <protection locked="0" hidden="0"/>
    </xf>
    <xf numFmtId="0" fontId="6" fillId="24" borderId="14" applyAlignment="1" applyProtection="1" pivotButton="0" quotePrefix="0" xfId="0">
      <alignment horizontal="center" vertical="center"/>
      <protection locked="0" hidden="0"/>
    </xf>
    <xf numFmtId="0" fontId="6" fillId="24" borderId="40" applyAlignment="1" applyProtection="1" pivotButton="0" quotePrefix="0" xfId="0">
      <alignment horizontal="center" vertical="center"/>
      <protection locked="0" hidden="0"/>
    </xf>
    <xf numFmtId="0" fontId="6" fillId="24" borderId="17" applyAlignment="1" applyProtection="1" pivotButton="0" quotePrefix="0" xfId="0">
      <alignment horizontal="center" vertical="center"/>
      <protection locked="0" hidden="0"/>
    </xf>
    <xf numFmtId="0" fontId="22" fillId="21" borderId="1" applyAlignment="1" applyProtection="1" pivotButton="0" quotePrefix="0" xfId="3">
      <alignment horizontal="left"/>
      <protection locked="0" hidden="0"/>
    </xf>
    <xf numFmtId="1" fontId="2" fillId="0" borderId="20" applyAlignment="1" pivotButton="0" quotePrefix="0" xfId="4">
      <alignment horizontal="center"/>
    </xf>
    <xf numFmtId="0" fontId="2" fillId="0" borderId="43" applyAlignment="1" pivotButton="0" quotePrefix="0" xfId="4">
      <alignment horizontal="center"/>
    </xf>
    <xf numFmtId="0" fontId="2" fillId="0" borderId="23" applyAlignment="1" pivotButton="0" quotePrefix="0" xfId="4">
      <alignment horizontal="center"/>
    </xf>
    <xf numFmtId="0" fontId="2" fillId="0" borderId="44" applyAlignment="1" pivotButton="0" quotePrefix="0" xfId="4">
      <alignment horizontal="center"/>
    </xf>
    <xf numFmtId="1" fontId="2" fillId="0" borderId="25" applyAlignment="1" pivotButton="0" quotePrefix="0" xfId="4">
      <alignment horizontal="center"/>
    </xf>
    <xf numFmtId="0" fontId="2" fillId="0" borderId="45" applyAlignment="1" pivotButton="0" quotePrefix="0" xfId="4">
      <alignment horizontal="center"/>
    </xf>
    <xf numFmtId="0" fontId="2" fillId="0" borderId="7" applyAlignment="1" pivotButton="0" quotePrefix="0" xfId="4">
      <alignment horizontal="center"/>
    </xf>
    <xf numFmtId="0" fontId="2" fillId="0" borderId="46" applyAlignment="1" pivotButton="0" quotePrefix="0" xfId="4">
      <alignment horizontal="center"/>
    </xf>
    <xf numFmtId="1" fontId="2" fillId="0" borderId="31" applyAlignment="1" pivotButton="0" quotePrefix="0" xfId="4">
      <alignment horizontal="center"/>
    </xf>
    <xf numFmtId="0" fontId="2" fillId="0" borderId="26" applyAlignment="1" pivotButton="0" quotePrefix="0" xfId="4">
      <alignment horizontal="center"/>
    </xf>
    <xf numFmtId="0" fontId="2" fillId="0" borderId="30" applyAlignment="1" pivotButton="0" quotePrefix="0" xfId="4">
      <alignment horizontal="center"/>
    </xf>
    <xf numFmtId="0" fontId="2" fillId="0" borderId="34" applyAlignment="1" pivotButton="0" quotePrefix="0" xfId="4">
      <alignment horizontal="center"/>
    </xf>
    <xf numFmtId="1" fontId="2" fillId="0" borderId="14" applyAlignment="1" pivotButton="0" quotePrefix="0" xfId="4">
      <alignment horizontal="center"/>
    </xf>
    <xf numFmtId="0" fontId="2" fillId="0" borderId="40" applyAlignment="1" pivotButton="0" quotePrefix="0" xfId="4">
      <alignment horizontal="center"/>
    </xf>
    <xf numFmtId="0" fontId="2" fillId="0" borderId="41" applyAlignment="1" pivotButton="0" quotePrefix="0" xfId="4">
      <alignment horizontal="center"/>
    </xf>
    <xf numFmtId="0" fontId="2" fillId="0" borderId="17" applyAlignment="1" pivotButton="0" quotePrefix="0" xfId="4">
      <alignment horizontal="center"/>
    </xf>
    <xf numFmtId="1" fontId="2" fillId="0" borderId="11" applyAlignment="1" pivotButton="0" quotePrefix="0" xfId="4">
      <alignment horizontal="center"/>
    </xf>
    <xf numFmtId="0" fontId="2" fillId="0" borderId="36" applyAlignment="1" pivotButton="0" quotePrefix="0" xfId="4">
      <alignment horizontal="center"/>
    </xf>
    <xf numFmtId="0" fontId="2" fillId="0" borderId="37" applyAlignment="1" pivotButton="0" quotePrefix="0" xfId="4">
      <alignment horizontal="center"/>
    </xf>
    <xf numFmtId="0" fontId="5" fillId="4" borderId="31" applyAlignment="1" pivotButton="0" quotePrefix="0" xfId="0">
      <alignment horizontal="center"/>
    </xf>
    <xf numFmtId="0" fontId="5" fillId="4" borderId="26" applyAlignment="1" pivotButton="0" quotePrefix="0" xfId="0">
      <alignment horizontal="center"/>
    </xf>
    <xf numFmtId="0" fontId="5" fillId="4" borderId="34" applyAlignment="1" pivotButton="0" quotePrefix="0" xfId="0">
      <alignment horizontal="center"/>
    </xf>
    <xf numFmtId="0" fontId="6" fillId="0" borderId="35" applyAlignment="1" pivotButton="0" quotePrefix="0" xfId="4">
      <alignment horizontal="center" vertical="center" textRotation="255"/>
    </xf>
    <xf numFmtId="0" fontId="6" fillId="0" borderId="38" applyAlignment="1" pivotButton="0" quotePrefix="0" xfId="4">
      <alignment horizontal="center" vertical="center" textRotation="255"/>
    </xf>
    <xf numFmtId="0" fontId="6" fillId="0" borderId="42" applyAlignment="1" pivotButton="0" quotePrefix="0" xfId="4">
      <alignment horizontal="center" vertical="center" textRotation="255"/>
    </xf>
    <xf numFmtId="0" fontId="2" fillId="0" borderId="3" applyAlignment="1" pivotButton="0" quotePrefix="0" xfId="4">
      <alignment horizontal="center"/>
    </xf>
    <xf numFmtId="0" fontId="3" fillId="0" borderId="0" applyAlignment="1" pivotButton="0" quotePrefix="0" xfId="4">
      <alignment horizontal="center" vertical="center"/>
    </xf>
    <xf numFmtId="0" fontId="4" fillId="0" borderId="0" applyAlignment="1" pivotButton="0" quotePrefix="0" xfId="4">
      <alignment horizontal="center" wrapText="1"/>
    </xf>
    <xf numFmtId="0" fontId="5" fillId="3" borderId="3" applyAlignment="1" applyProtection="1" pivotButton="0" quotePrefix="0" xfId="4">
      <alignment horizontal="center" vertical="center"/>
      <protection locked="1" hidden="1"/>
    </xf>
    <xf numFmtId="0" fontId="5" fillId="3" borderId="4" applyAlignment="1" applyProtection="1" pivotButton="0" quotePrefix="0" xfId="4">
      <alignment horizontal="center" vertical="center"/>
      <protection locked="1" hidden="1"/>
    </xf>
    <xf numFmtId="0" fontId="5" fillId="3" borderId="5" applyAlignment="1" applyProtection="1" pivotButton="0" quotePrefix="0" xfId="4">
      <alignment horizontal="center" vertical="center"/>
      <protection locked="1" hidden="1"/>
    </xf>
    <xf numFmtId="0" fontId="6" fillId="0" borderId="10" applyAlignment="1" pivotButton="0" quotePrefix="0" xfId="4">
      <alignment horizontal="center" vertical="center" textRotation="255"/>
    </xf>
    <xf numFmtId="0" fontId="6" fillId="0" borderId="12" applyAlignment="1" pivotButton="0" quotePrefix="0" xfId="4">
      <alignment horizontal="center" vertical="center" textRotation="255"/>
    </xf>
    <xf numFmtId="0" fontId="6" fillId="0" borderId="18" applyAlignment="1" pivotButton="0" quotePrefix="0" xfId="4">
      <alignment horizontal="center" vertical="center" textRotation="255"/>
    </xf>
    <xf numFmtId="0" fontId="6" fillId="0" borderId="10" applyAlignment="1" pivotButton="0" quotePrefix="0" xfId="4">
      <alignment horizontal="center" vertical="center" textRotation="255" wrapText="1"/>
    </xf>
    <xf numFmtId="0" fontId="6" fillId="0" borderId="12" applyAlignment="1" pivotButton="0" quotePrefix="0" xfId="4">
      <alignment horizontal="center" vertical="center" textRotation="255" wrapText="1"/>
    </xf>
    <xf numFmtId="0" fontId="6" fillId="0" borderId="18" applyAlignment="1" pivotButton="0" quotePrefix="0" xfId="4">
      <alignment horizontal="center" vertical="center" textRotation="255" wrapText="1"/>
    </xf>
    <xf numFmtId="0" fontId="5" fillId="4" borderId="30" applyAlignment="1" pivotButton="0" quotePrefix="0" xfId="0">
      <alignment horizontal="center"/>
    </xf>
    <xf numFmtId="0" fontId="2" fillId="11" borderId="27" applyAlignment="1" pivotButton="0" quotePrefix="0" xfId="0">
      <alignment horizontal="center" vertical="center" wrapText="1"/>
    </xf>
    <xf numFmtId="0" fontId="2" fillId="11" borderId="51" applyAlignment="1" pivotButton="0" quotePrefix="0" xfId="0">
      <alignment horizontal="center" vertical="center"/>
    </xf>
    <xf numFmtId="0" fontId="2" fillId="11" borderId="56" applyAlignment="1" pivotButton="0" quotePrefix="0" xfId="0">
      <alignment horizontal="center" vertical="center"/>
    </xf>
    <xf numFmtId="0" fontId="2" fillId="0" borderId="4" applyAlignment="1" pivotButton="0" quotePrefix="0" xfId="0">
      <alignment horizontal="center" vertical="center" wrapText="1"/>
    </xf>
    <xf numFmtId="0" fontId="2" fillId="0" borderId="4" applyAlignment="1" pivotButton="0" quotePrefix="0" xfId="0">
      <alignment horizontal="center" vertical="center"/>
    </xf>
    <xf numFmtId="0" fontId="2" fillId="0" borderId="15" applyAlignment="1" pivotButton="0" quotePrefix="0" xfId="0">
      <alignment horizontal="center" vertical="center"/>
    </xf>
    <xf numFmtId="0" fontId="2" fillId="0" borderId="21" applyAlignment="1" pivotButton="0" quotePrefix="0" xfId="0">
      <alignment horizontal="center" vertical="center"/>
    </xf>
    <xf numFmtId="0" fontId="2" fillId="8" borderId="28" applyAlignment="1" applyProtection="1" pivotButton="0" quotePrefix="0" xfId="0">
      <alignment horizontal="center" vertical="center"/>
      <protection locked="0" hidden="0"/>
    </xf>
    <xf numFmtId="0" fontId="2" fillId="8" borderId="52" applyAlignment="1" applyProtection="1" pivotButton="0" quotePrefix="0" xfId="0">
      <alignment horizontal="center" vertical="center"/>
      <protection locked="0" hidden="0"/>
    </xf>
    <xf numFmtId="0" fontId="2" fillId="8" borderId="54" applyAlignment="1" applyProtection="1" pivotButton="0" quotePrefix="0" xfId="0">
      <alignment horizontal="center" vertical="center"/>
      <protection locked="0" hidden="0"/>
    </xf>
    <xf numFmtId="0" fontId="2" fillId="8" borderId="29" applyAlignment="1" applyProtection="1" pivotButton="0" quotePrefix="0" xfId="0">
      <alignment horizontal="center" vertical="center"/>
      <protection locked="0" hidden="0"/>
    </xf>
    <xf numFmtId="0" fontId="2" fillId="8" borderId="53" applyAlignment="1" applyProtection="1" pivotButton="0" quotePrefix="0" xfId="0">
      <alignment horizontal="center" vertical="center"/>
      <protection locked="0" hidden="0"/>
    </xf>
    <xf numFmtId="0" fontId="2" fillId="8" borderId="55" applyAlignment="1" applyProtection="1" pivotButton="0" quotePrefix="0" xfId="0">
      <alignment horizontal="center" vertical="center"/>
      <protection locked="0" hidden="0"/>
    </xf>
    <xf numFmtId="1" fontId="2" fillId="8" borderId="28" applyAlignment="1" applyProtection="1" pivotButton="0" quotePrefix="0" xfId="0">
      <alignment horizontal="center" vertical="center"/>
      <protection locked="0" hidden="0"/>
    </xf>
    <xf numFmtId="1" fontId="2" fillId="8" borderId="52" applyAlignment="1" applyProtection="1" pivotButton="0" quotePrefix="0" xfId="0">
      <alignment horizontal="center" vertical="center"/>
      <protection locked="0" hidden="0"/>
    </xf>
    <xf numFmtId="1" fontId="2" fillId="8" borderId="54" applyAlignment="1" applyProtection="1" pivotButton="0" quotePrefix="0" xfId="0">
      <alignment horizontal="center" vertical="center"/>
      <protection locked="0" hidden="0"/>
    </xf>
    <xf numFmtId="1" fontId="2" fillId="8" borderId="29" applyAlignment="1" applyProtection="1" pivotButton="0" quotePrefix="0" xfId="0">
      <alignment horizontal="center" vertical="center"/>
      <protection locked="0" hidden="0"/>
    </xf>
    <xf numFmtId="1" fontId="2" fillId="8" borderId="53" applyAlignment="1" applyProtection="1" pivotButton="0" quotePrefix="0" xfId="0">
      <alignment horizontal="center" vertical="center"/>
      <protection locked="0" hidden="0"/>
    </xf>
    <xf numFmtId="1" fontId="2" fillId="8" borderId="55" applyAlignment="1" applyProtection="1" pivotButton="0" quotePrefix="0" xfId="0">
      <alignment horizontal="center" vertical="center"/>
      <protection locked="0" hidden="0"/>
    </xf>
    <xf numFmtId="0" fontId="29" fillId="32" borderId="50" applyAlignment="1" pivotButton="0" quotePrefix="0" xfId="0">
      <alignment horizontal="center" vertical="center" wrapText="1"/>
    </xf>
    <xf numFmtId="0" fontId="29" fillId="32" borderId="23" applyAlignment="1" pivotButton="0" quotePrefix="0" xfId="0">
      <alignment horizontal="center" vertical="center" wrapText="1"/>
    </xf>
    <xf numFmtId="0" fontId="29" fillId="32" borderId="20" applyAlignment="1" pivotButton="0" quotePrefix="0" xfId="0">
      <alignment horizontal="center" vertical="center" wrapText="1"/>
    </xf>
    <xf numFmtId="0" fontId="2" fillId="0" borderId="59" applyAlignment="1" pivotButton="0" quotePrefix="0" xfId="0">
      <alignment horizontal="center" vertical="center"/>
    </xf>
    <xf numFmtId="0" fontId="2" fillId="0" borderId="60" applyAlignment="1" pivotButton="0" quotePrefix="0" xfId="0">
      <alignment horizontal="center" vertical="center"/>
    </xf>
    <xf numFmtId="0" fontId="2" fillId="16" borderId="27" applyAlignment="1" pivotButton="0" quotePrefix="0" xfId="0">
      <alignment horizontal="center" vertical="center" wrapText="1"/>
    </xf>
    <xf numFmtId="0" fontId="2" fillId="16" borderId="51" applyAlignment="1" pivotButton="0" quotePrefix="0" xfId="0">
      <alignment horizontal="center" vertical="center" wrapText="1"/>
    </xf>
    <xf numFmtId="0" fontId="2" fillId="0" borderId="11" applyAlignment="1" pivotButton="0" quotePrefix="0" xfId="0">
      <alignment horizontal="center" vertical="center" wrapText="1"/>
    </xf>
    <xf numFmtId="0" fontId="2" fillId="0" borderId="3" applyAlignment="1" pivotButton="0" quotePrefix="0" xfId="0">
      <alignment horizontal="center" vertical="center"/>
    </xf>
    <xf numFmtId="0" fontId="2" fillId="0" borderId="25" applyAlignment="1" pivotButton="0" quotePrefix="0" xfId="0">
      <alignment horizontal="center" vertical="center" wrapText="1"/>
    </xf>
    <xf numFmtId="0" fontId="2" fillId="0" borderId="7" applyAlignment="1" pivotButton="0" quotePrefix="0" xfId="0">
      <alignment horizontal="center" vertical="center"/>
    </xf>
    <xf numFmtId="0" fontId="2" fillId="17" borderId="27" applyAlignment="1" pivotButton="0" quotePrefix="0" xfId="0">
      <alignment horizontal="center" vertical="center" wrapText="1"/>
    </xf>
    <xf numFmtId="0" fontId="2" fillId="17" borderId="56" applyAlignment="1" pivotButton="0" quotePrefix="0" xfId="0">
      <alignment horizontal="center" vertical="center" wrapText="1"/>
    </xf>
    <xf numFmtId="0" fontId="2" fillId="0" borderId="21" applyAlignment="1" pivotButton="0" quotePrefix="0" xfId="0">
      <alignment horizontal="center" vertical="center" wrapText="1"/>
    </xf>
    <xf numFmtId="0" fontId="2" fillId="12" borderId="27" applyAlignment="1" pivotButton="0" quotePrefix="0" xfId="0">
      <alignment horizontal="center" vertical="center"/>
    </xf>
    <xf numFmtId="0" fontId="2" fillId="12" borderId="51" applyAlignment="1" pivotButton="0" quotePrefix="0" xfId="0">
      <alignment horizontal="center" vertical="center"/>
    </xf>
    <xf numFmtId="0" fontId="2" fillId="12" borderId="56" applyAlignment="1" pivotButton="0" quotePrefix="0" xfId="0">
      <alignment horizontal="center" vertical="center"/>
    </xf>
    <xf numFmtId="0" fontId="2" fillId="0" borderId="31" applyAlignment="1" pivotButton="0" quotePrefix="0" xfId="0">
      <alignment horizontal="center" vertical="center" wrapText="1"/>
    </xf>
    <xf numFmtId="0" fontId="2" fillId="0" borderId="30" applyAlignment="1" pivotButton="0" quotePrefix="0" xfId="0">
      <alignment horizontal="center" vertical="center" wrapText="1"/>
    </xf>
    <xf numFmtId="0" fontId="2" fillId="0" borderId="57" applyAlignment="1" pivotButton="0" quotePrefix="0" xfId="0">
      <alignment horizontal="center" vertical="center" wrapText="1"/>
    </xf>
    <xf numFmtId="0" fontId="2" fillId="0" borderId="58" applyAlignment="1" pivotButton="0" quotePrefix="0" xfId="0">
      <alignment horizontal="center" vertical="center" wrapText="1"/>
    </xf>
    <xf numFmtId="0" fontId="2" fillId="14" borderId="27" applyAlignment="1" pivotButton="0" quotePrefix="0" xfId="0">
      <alignment horizontal="center" vertical="center"/>
    </xf>
    <xf numFmtId="0" fontId="2" fillId="14" borderId="51" applyAlignment="1" pivotButton="0" quotePrefix="0" xfId="0">
      <alignment horizontal="center" vertical="center"/>
    </xf>
    <xf numFmtId="0" fontId="2" fillId="14" borderId="56" applyAlignment="1" pivotButton="0" quotePrefix="0" xfId="0">
      <alignment horizontal="center" vertical="center"/>
    </xf>
    <xf numFmtId="0" fontId="11" fillId="18" borderId="14" applyAlignment="1" pivotButton="0" quotePrefix="0" xfId="0">
      <alignment horizontal="center" vertical="top" wrapText="1"/>
    </xf>
    <xf numFmtId="0" fontId="11" fillId="18" borderId="17" applyAlignment="1" pivotButton="0" quotePrefix="0" xfId="0">
      <alignment horizontal="center" vertical="top" wrapText="1"/>
    </xf>
    <xf numFmtId="0" fontId="2" fillId="0" borderId="14" applyAlignment="1" pivotButton="0" quotePrefix="0" xfId="0">
      <alignment horizontal="center" vertical="center"/>
    </xf>
    <xf numFmtId="0" fontId="2" fillId="0" borderId="17" applyAlignment="1" pivotButton="0" quotePrefix="0" xfId="0">
      <alignment horizontal="center" vertical="center"/>
    </xf>
    <xf numFmtId="0" fontId="11" fillId="18" borderId="15" applyAlignment="1" pivotButton="0" quotePrefix="0" xfId="0">
      <alignment horizontal="center" vertical="top" wrapText="1"/>
    </xf>
    <xf numFmtId="0" fontId="2" fillId="0" borderId="8" applyAlignment="1" pivotButton="0" quotePrefix="0" xfId="0">
      <alignment horizontal="center" vertical="center" wrapText="1"/>
    </xf>
    <xf numFmtId="0" fontId="2" fillId="0" borderId="61" applyAlignment="1" pivotButton="0" quotePrefix="0" xfId="0">
      <alignment horizontal="center" vertical="center"/>
    </xf>
    <xf numFmtId="0" fontId="2" fillId="0" borderId="61" applyAlignment="1" pivotButton="0" quotePrefix="0" xfId="0">
      <alignment horizontal="center" vertical="center" wrapText="1"/>
    </xf>
    <xf numFmtId="0" fontId="2" fillId="0" borderId="8" applyAlignment="1" pivotButton="0" quotePrefix="0" xfId="0">
      <alignment horizontal="center" vertical="center"/>
    </xf>
    <xf numFmtId="0" fontId="29" fillId="32" borderId="15" applyAlignment="1" pivotButton="0" quotePrefix="0" xfId="0">
      <alignment horizontal="center" vertical="center" wrapText="1"/>
    </xf>
    <xf numFmtId="0" fontId="11" fillId="30" borderId="15" applyAlignment="1" pivotButton="0" quotePrefix="0" xfId="0">
      <alignment horizontal="center" vertical="top" wrapText="1"/>
    </xf>
    <xf numFmtId="0" fontId="2" fillId="30" borderId="8" applyAlignment="1" pivotButton="0" quotePrefix="0" xfId="0">
      <alignment horizontal="center" vertical="center"/>
    </xf>
    <xf numFmtId="0" fontId="2" fillId="30" borderId="61" applyAlignment="1" pivotButton="0" quotePrefix="0" xfId="0">
      <alignment horizontal="center" vertical="center"/>
    </xf>
    <xf numFmtId="49" fontId="11" fillId="30" borderId="15" applyAlignment="1" pivotButton="0" quotePrefix="0" xfId="0">
      <alignment horizontal="center" vertical="top" wrapText="1"/>
    </xf>
    <xf numFmtId="0" fontId="12" fillId="30" borderId="14" applyAlignment="1" pivotButton="0" quotePrefix="0" xfId="0">
      <alignment horizontal="center" vertical="center" wrapText="1"/>
    </xf>
    <xf numFmtId="0" fontId="12" fillId="30" borderId="40" applyAlignment="1" pivotButton="0" quotePrefix="0" xfId="0">
      <alignment horizontal="center" vertical="center" wrapText="1"/>
    </xf>
    <xf numFmtId="0" fontId="2" fillId="30" borderId="63" applyAlignment="1" pivotButton="0" quotePrefix="0" xfId="0">
      <alignment horizontal="left" vertical="top" wrapText="1"/>
    </xf>
    <xf numFmtId="0" fontId="2" fillId="30" borderId="0" applyAlignment="1" pivotButton="0" quotePrefix="0" xfId="0">
      <alignment horizontal="left" vertical="top" wrapText="1"/>
    </xf>
    <xf numFmtId="0" fontId="2" fillId="31" borderId="0" applyProtection="1" pivotButton="0" quotePrefix="0" xfId="0">
      <protection locked="0" hidden="0"/>
    </xf>
    <xf numFmtId="0" fontId="2" fillId="0" borderId="0" applyProtection="1" pivotButton="0" quotePrefix="0" xfId="0">
      <protection locked="0" hidden="0"/>
    </xf>
    <xf numFmtId="0" fontId="2" fillId="28" borderId="0" pivotButton="0" quotePrefix="0" xfId="0"/>
    <xf numFmtId="0" fontId="0" fillId="0" borderId="0" applyProtection="1" pivotButton="0" quotePrefix="0" xfId="0">
      <protection locked="0" hidden="0"/>
    </xf>
    <xf numFmtId="0" fontId="6" fillId="24" borderId="15" applyAlignment="1" applyProtection="1" pivotButton="0" quotePrefix="0" xfId="0">
      <alignment horizontal="center" vertical="center"/>
      <protection locked="0" hidden="0"/>
    </xf>
    <xf numFmtId="0" fontId="0" fillId="0" borderId="40" applyProtection="1" pivotButton="0" quotePrefix="0" xfId="0">
      <protection locked="0" hidden="0"/>
    </xf>
    <xf numFmtId="0" fontId="0" fillId="0" borderId="17" applyProtection="1" pivotButton="0" quotePrefix="0" xfId="0">
      <protection locked="0" hidden="0"/>
    </xf>
    <xf numFmtId="0" fontId="6" fillId="32" borderId="15" applyAlignment="1" applyProtection="1" pivotButton="0" quotePrefix="0" xfId="0">
      <alignment horizontal="center" vertical="center" wrapText="1"/>
      <protection locked="0" hidden="0"/>
    </xf>
    <xf numFmtId="0" fontId="0" fillId="0" borderId="61" applyProtection="1" pivotButton="0" quotePrefix="0" xfId="0">
      <protection locked="0" hidden="0"/>
    </xf>
    <xf numFmtId="43" fontId="2" fillId="0" borderId="0" applyProtection="1" pivotButton="0" quotePrefix="0" xfId="1">
      <protection locked="0" hidden="0"/>
    </xf>
    <xf numFmtId="167" fontId="2" fillId="0" borderId="0" applyProtection="1" pivotButton="0" quotePrefix="0" xfId="0">
      <protection locked="0" hidden="0"/>
    </xf>
    <xf numFmtId="0" fontId="0" fillId="0" borderId="66" applyProtection="1" pivotButton="0" quotePrefix="0" xfId="0">
      <protection locked="0" hidden="0"/>
    </xf>
    <xf numFmtId="0" fontId="0" fillId="0" borderId="67" applyProtection="1" pivotButton="0" quotePrefix="0" xfId="0">
      <protection locked="0" hidden="0"/>
    </xf>
    <xf numFmtId="0" fontId="0" fillId="0" borderId="36" applyProtection="1" pivotButton="0" quotePrefix="0" xfId="0">
      <protection locked="1" hidden="1"/>
    </xf>
    <xf numFmtId="0" fontId="0" fillId="0" borderId="3" applyProtection="1" pivotButton="0" quotePrefix="0" xfId="0">
      <protection locked="1" hidden="1"/>
    </xf>
    <xf numFmtId="164" fontId="4" fillId="6" borderId="11" applyAlignment="1" applyProtection="1" pivotButton="0" quotePrefix="0" xfId="4">
      <alignment horizontal="center" vertical="center"/>
      <protection locked="1" hidden="1"/>
    </xf>
    <xf numFmtId="164" fontId="4" fillId="0" borderId="62" applyAlignment="1" applyProtection="1" pivotButton="0" quotePrefix="0" xfId="4">
      <alignment horizontal="center" vertical="center"/>
      <protection locked="1" hidden="1"/>
    </xf>
    <xf numFmtId="164" fontId="4" fillId="0" borderId="4" applyAlignment="1" applyProtection="1" pivotButton="0" quotePrefix="0" xfId="4">
      <alignment horizontal="center" vertical="center"/>
      <protection locked="1" hidden="1"/>
    </xf>
    <xf numFmtId="164" fontId="4" fillId="6" borderId="3" applyAlignment="1" applyProtection="1" pivotButton="0" quotePrefix="0" xfId="4">
      <alignment horizontal="center" vertical="center"/>
      <protection locked="1" hidden="1"/>
    </xf>
    <xf numFmtId="164" fontId="4" fillId="0" borderId="0" applyAlignment="1" pivotButton="0" quotePrefix="0" xfId="4">
      <alignment horizontal="center"/>
    </xf>
    <xf numFmtId="0" fontId="0" fillId="0" borderId="12" pivotButton="0" quotePrefix="0" xfId="0"/>
    <xf numFmtId="164" fontId="4" fillId="6" borderId="14" applyAlignment="1" applyProtection="1" pivotButton="0" quotePrefix="0" xfId="4">
      <alignment horizontal="center" vertical="center"/>
      <protection locked="1" hidden="1"/>
    </xf>
    <xf numFmtId="164" fontId="4" fillId="0" borderId="13" applyAlignment="1" applyProtection="1" pivotButton="0" quotePrefix="0" xfId="4">
      <alignment horizontal="center" vertical="center"/>
      <protection locked="1" hidden="1"/>
    </xf>
    <xf numFmtId="164" fontId="4" fillId="0" borderId="15" applyAlignment="1" applyProtection="1" pivotButton="0" quotePrefix="0" xfId="4">
      <alignment horizontal="center" vertical="center"/>
      <protection locked="1" hidden="1"/>
    </xf>
    <xf numFmtId="164" fontId="4" fillId="6" borderId="17" applyAlignment="1" applyProtection="1" pivotButton="0" quotePrefix="0" xfId="4">
      <alignment horizontal="center" vertical="center"/>
      <protection locked="1" hidden="1"/>
    </xf>
    <xf numFmtId="43" fontId="2" fillId="0" borderId="0" pivotButton="0" quotePrefix="0" xfId="1"/>
    <xf numFmtId="0" fontId="6" fillId="0" borderId="33" applyAlignment="1" pivotButton="0" quotePrefix="0" xfId="4">
      <alignment horizontal="center" vertical="center" textRotation="255" wrapText="1"/>
    </xf>
    <xf numFmtId="0" fontId="0" fillId="0" borderId="18" pivotButton="0" quotePrefix="0" xfId="0"/>
    <xf numFmtId="164" fontId="4" fillId="6" borderId="20" applyAlignment="1" applyProtection="1" pivotButton="0" quotePrefix="0" xfId="4">
      <alignment horizontal="center" vertical="center"/>
      <protection locked="1" hidden="1"/>
    </xf>
    <xf numFmtId="164" fontId="4" fillId="0" borderId="19" applyAlignment="1" applyProtection="1" pivotButton="0" quotePrefix="0" xfId="4">
      <alignment horizontal="center" vertical="center"/>
      <protection locked="1" hidden="1"/>
    </xf>
    <xf numFmtId="164" fontId="4" fillId="0" borderId="21" applyAlignment="1" applyProtection="1" pivotButton="0" quotePrefix="0" xfId="4">
      <alignment horizontal="center" vertical="center"/>
      <protection locked="1" hidden="1"/>
    </xf>
    <xf numFmtId="164" fontId="4" fillId="6" borderId="23" applyAlignment="1" applyProtection="1" pivotButton="0" quotePrefix="0" xfId="4">
      <alignment horizontal="center" vertical="center"/>
      <protection locked="1" hidden="1"/>
    </xf>
    <xf numFmtId="0" fontId="0" fillId="0" borderId="26" pivotButton="0" quotePrefix="0" xfId="0"/>
    <xf numFmtId="0" fontId="5" fillId="4" borderId="28" applyAlignment="1" pivotButton="0" quotePrefix="0" xfId="0">
      <alignment horizontal="center"/>
    </xf>
    <xf numFmtId="0" fontId="0" fillId="0" borderId="30" pivotButton="0" quotePrefix="0" xfId="0"/>
    <xf numFmtId="0" fontId="5" fillId="4" borderId="29" applyAlignment="1" pivotButton="0" quotePrefix="0" xfId="0">
      <alignment horizontal="center"/>
    </xf>
    <xf numFmtId="0" fontId="0" fillId="0" borderId="34" pivotButton="0" quotePrefix="0" xfId="0"/>
    <xf numFmtId="1" fontId="2" fillId="0" borderId="4" applyAlignment="1" pivotButton="0" quotePrefix="0" xfId="4">
      <alignment horizontal="center"/>
    </xf>
    <xf numFmtId="0" fontId="0" fillId="0" borderId="36" pivotButton="0" quotePrefix="0" xfId="0"/>
    <xf numFmtId="0" fontId="0" fillId="0" borderId="3" pivotButton="0" quotePrefix="0" xfId="0"/>
    <xf numFmtId="1" fontId="2" fillId="0" borderId="5" applyAlignment="1" pivotButton="0" quotePrefix="0" xfId="4">
      <alignment horizontal="center"/>
    </xf>
    <xf numFmtId="0" fontId="0" fillId="0" borderId="37" pivotButton="0" quotePrefix="0" xfId="0"/>
    <xf numFmtId="0" fontId="0" fillId="0" borderId="38" pivotButton="0" quotePrefix="0" xfId="0"/>
    <xf numFmtId="1" fontId="2" fillId="0" borderId="15" applyAlignment="1" pivotButton="0" quotePrefix="0" xfId="4">
      <alignment horizontal="center"/>
    </xf>
    <xf numFmtId="0" fontId="0" fillId="0" borderId="40" pivotButton="0" quotePrefix="0" xfId="0"/>
    <xf numFmtId="0" fontId="0" fillId="0" borderId="17" pivotButton="0" quotePrefix="0" xfId="0"/>
    <xf numFmtId="1" fontId="2" fillId="0" borderId="16" applyAlignment="1" pivotButton="0" quotePrefix="0" xfId="4">
      <alignment horizontal="center"/>
    </xf>
    <xf numFmtId="0" fontId="0" fillId="0" borderId="41" pivotButton="0" quotePrefix="0" xfId="0"/>
    <xf numFmtId="165" fontId="2" fillId="0" borderId="0" applyAlignment="1" pivotButton="0" quotePrefix="0" xfId="0">
      <alignment horizontal="center" vertical="center"/>
    </xf>
    <xf numFmtId="0" fontId="0" fillId="0" borderId="61" pivotButton="0" quotePrefix="0" xfId="0"/>
    <xf numFmtId="0" fontId="36" fillId="38" borderId="72" applyAlignment="1" pivotButton="0" quotePrefix="0" xfId="0">
      <alignment horizontal="center" vertical="center"/>
    </xf>
    <xf numFmtId="0" fontId="0" fillId="0" borderId="72" pivotButton="0" quotePrefix="0" xfId="0"/>
    <xf numFmtId="0" fontId="0" fillId="0" borderId="72" applyAlignment="1" pivotButton="0" quotePrefix="0" xfId="0">
      <alignment horizontal="center" vertical="center"/>
    </xf>
    <xf numFmtId="0" fontId="0" fillId="0" borderId="72" applyAlignment="1" pivotButton="0" quotePrefix="0" xfId="0">
      <alignment wrapText="1"/>
    </xf>
  </cellXfs>
  <cellStyles count="8">
    <cellStyle name="Normal" xfId="0" builtinId="0"/>
    <cellStyle name="Vírgula" xfId="1" builtinId="3"/>
    <cellStyle name="Percentagem" xfId="2" builtinId="5"/>
    <cellStyle name="Nota" xfId="3" builtinId="10"/>
    <cellStyle name="Normal 3 2" xfId="4"/>
    <cellStyle name="Percent 2" xfId="5"/>
    <cellStyle name="Percent 2 2" xfId="6"/>
    <cellStyle name="Vírgula 2" xfId="7"/>
  </cellStyles>
  <dxfs count="85">
    <dxf>
      <fill>
        <patternFill>
          <bgColor rgb="FFC0C0C0"/>
        </patternFill>
      </fill>
    </dxf>
    <dxf>
      <fill>
        <patternFill>
          <bgColor rgb="FFC0C0C0"/>
        </patternFill>
      </fill>
    </dxf>
    <dxf>
      <fill>
        <patternFill>
          <bgColor rgb="FFC0C0C0"/>
        </patternFill>
      </fill>
    </dxf>
    <dxf>
      <fill>
        <patternFill>
          <bgColor rgb="FFC0C0C0"/>
        </patternFill>
      </fill>
    </dxf>
    <dxf>
      <fill>
        <patternFill>
          <bgColor rgb="FFC0C0C0"/>
        </patternFill>
      </fill>
    </dxf>
    <dxf>
      <fill>
        <patternFill>
          <bgColor rgb="FFC0C0C0"/>
        </patternFill>
      </fill>
    </dxf>
    <dxf>
      <fill>
        <patternFill>
          <bgColor rgb="FFC0C0C0"/>
        </patternFill>
      </fill>
    </dxf>
    <dxf>
      <fill>
        <patternFill>
          <bgColor rgb="FFC0C0C0"/>
        </patternFill>
      </fill>
    </dxf>
    <dxf>
      <fill>
        <patternFill>
          <bgColor rgb="FFC0C0C0"/>
        </patternFill>
      </fill>
    </dxf>
    <dxf>
      <fill>
        <patternFill>
          <bgColor rgb="FFC0C0C0"/>
        </patternFill>
      </fill>
    </dxf>
    <dxf>
      <fill>
        <patternFill>
          <bgColor rgb="FFC0C0C0"/>
        </patternFill>
      </fill>
    </dxf>
    <dxf>
      <fill>
        <patternFill>
          <bgColor rgb="FFC0C0C0"/>
        </patternFill>
      </fill>
    </dxf>
    <dxf>
      <fill>
        <patternFill>
          <bgColor rgb="FFC0C0C0"/>
        </patternFill>
      </fill>
    </dxf>
    <dxf>
      <fill>
        <patternFill>
          <bgColor rgb="FFC0C0C0"/>
        </patternFill>
      </fill>
    </dxf>
    <dxf>
      <fill>
        <patternFill>
          <bgColor rgb="FFC0C0C0"/>
        </patternFill>
      </fill>
    </dxf>
    <dxf>
      <fill>
        <patternFill>
          <bgColor rgb="FFC0C0C0"/>
        </patternFill>
      </fill>
    </dxf>
    <dxf>
      <fill>
        <patternFill>
          <bgColor rgb="FFC0C0C0"/>
        </patternFill>
      </fill>
    </dxf>
    <dxf>
      <fill>
        <patternFill>
          <bgColor rgb="FFC0C0C0"/>
        </patternFill>
      </fill>
    </dxf>
    <dxf>
      <fill>
        <patternFill>
          <bgColor rgb="FFC0C0C0"/>
        </patternFill>
      </fill>
    </dxf>
    <dxf>
      <fill>
        <patternFill>
          <bgColor rgb="FFC0C0C0"/>
        </patternFill>
      </fill>
    </dxf>
    <dxf>
      <fill>
        <patternFill>
          <bgColor rgb="FFC0C0C0"/>
        </patternFill>
      </fill>
    </dxf>
    <dxf>
      <fill>
        <patternFill>
          <bgColor rgb="FFC0C0C0"/>
        </patternFill>
      </fill>
    </dxf>
    <dxf>
      <fill>
        <patternFill>
          <bgColor rgb="FFC0C0C0"/>
        </patternFill>
      </fill>
    </dxf>
    <dxf>
      <fill>
        <patternFill>
          <bgColor rgb="FFC0C0C0"/>
        </patternFill>
      </fill>
    </dxf>
    <dxf>
      <fill>
        <patternFill>
          <bgColor rgb="FFC0C0C0"/>
        </patternFill>
      </fill>
    </dxf>
    <dxf>
      <fill>
        <patternFill>
          <bgColor rgb="FFC0C0C0"/>
        </patternFill>
      </fill>
    </dxf>
    <dxf>
      <fill>
        <patternFill>
          <bgColor rgb="FFC0C0C0"/>
        </patternFill>
      </fill>
    </dxf>
    <dxf>
      <fill>
        <patternFill>
          <bgColor rgb="FFC0C0C0"/>
        </patternFill>
      </fill>
    </dxf>
    <dxf>
      <fill>
        <patternFill>
          <bgColor rgb="FFC0C0C0"/>
        </patternFill>
      </fill>
    </dxf>
    <dxf>
      <fill>
        <patternFill>
          <bgColor rgb="FFC0C0C0"/>
        </patternFill>
      </fill>
    </dxf>
    <dxf>
      <fill>
        <patternFill>
          <bgColor rgb="FFC0C0C0"/>
        </patternFill>
      </fill>
    </dxf>
    <dxf>
      <fill>
        <patternFill>
          <bgColor rgb="FFC0C0C0"/>
        </patternFill>
      </fill>
    </dxf>
    <dxf>
      <fill>
        <patternFill>
          <bgColor rgb="FFC0C0C0"/>
        </patternFill>
      </fill>
    </dxf>
    <dxf>
      <fill>
        <patternFill>
          <bgColor rgb="FFC0C0C0"/>
        </patternFill>
      </fill>
    </dxf>
    <dxf>
      <fill>
        <patternFill>
          <bgColor rgb="FFC0C0C0"/>
        </patternFill>
      </fill>
    </dxf>
    <dxf>
      <fill>
        <patternFill>
          <bgColor rgb="FFC0C0C0"/>
        </patternFill>
      </fill>
    </dxf>
    <dxf>
      <fill>
        <patternFill>
          <bgColor rgb="FFC0C0C0"/>
        </patternFill>
      </fill>
    </dxf>
    <dxf>
      <fill>
        <patternFill>
          <bgColor rgb="FFC0C0C0"/>
        </patternFill>
      </fill>
    </dxf>
    <dxf>
      <fill>
        <patternFill>
          <bgColor rgb="FFC0C0C0"/>
        </patternFill>
      </fill>
    </dxf>
    <dxf>
      <fill>
        <patternFill>
          <bgColor rgb="FFC0C0C0"/>
        </patternFill>
      </fill>
    </dxf>
    <dxf>
      <fill>
        <patternFill>
          <bgColor rgb="FFC0C0C0"/>
        </patternFill>
      </fill>
    </dxf>
    <dxf>
      <fill>
        <patternFill>
          <bgColor rgb="FFC0C0C0"/>
        </patternFill>
      </fill>
    </dxf>
    <dxf>
      <fill>
        <patternFill>
          <bgColor rgb="FFC0C0C0"/>
        </patternFill>
      </fill>
    </dxf>
    <dxf>
      <fill>
        <patternFill>
          <bgColor rgb="FFC0C0C0"/>
        </patternFill>
      </fill>
    </dxf>
    <dxf>
      <fill>
        <patternFill>
          <bgColor rgb="FFC0C0C0"/>
        </patternFill>
      </fill>
    </dxf>
    <dxf>
      <fill>
        <patternFill>
          <bgColor rgb="FFC0C0C0"/>
        </patternFill>
      </fill>
    </dxf>
    <dxf>
      <fill>
        <patternFill>
          <bgColor rgb="FFC0C0C0"/>
        </patternFill>
      </fill>
    </dxf>
    <dxf>
      <fill>
        <patternFill>
          <bgColor rgb="FFC0C0C0"/>
        </patternFill>
      </fill>
    </dxf>
    <dxf>
      <fill>
        <patternFill>
          <bgColor rgb="FFC0C0C0"/>
        </patternFill>
      </fill>
    </dxf>
    <dxf>
      <fill>
        <patternFill>
          <bgColor rgb="FFC0C0C0"/>
        </patternFill>
      </fill>
    </dxf>
    <dxf>
      <fill>
        <patternFill>
          <bgColor rgb="FFC0C0C0"/>
        </patternFill>
      </fill>
    </dxf>
    <dxf>
      <fill>
        <patternFill>
          <bgColor rgb="FFC0C0C0"/>
        </patternFill>
      </fill>
    </dxf>
    <dxf>
      <fill>
        <patternFill>
          <bgColor rgb="FFC0C0C0"/>
        </patternFill>
      </fill>
    </dxf>
    <dxf>
      <fill>
        <patternFill>
          <bgColor rgb="FFC0C0C0"/>
        </patternFill>
      </fill>
    </dxf>
    <dxf>
      <fill>
        <patternFill>
          <bgColor rgb="FFC0C0C0"/>
        </patternFill>
      </fill>
    </dxf>
    <dxf>
      <fill>
        <patternFill>
          <bgColor rgb="FFC0C0C0"/>
        </patternFill>
      </fill>
    </dxf>
    <dxf>
      <fill>
        <patternFill>
          <bgColor rgb="FFC0C0C0"/>
        </patternFill>
      </fill>
    </dxf>
    <dxf>
      <fill>
        <patternFill>
          <bgColor rgb="FFC0C0C0"/>
        </patternFill>
      </fill>
    </dxf>
    <dxf>
      <fill>
        <patternFill>
          <bgColor rgb="FFC0C0C0"/>
        </patternFill>
      </fill>
    </dxf>
    <dxf>
      <fill>
        <patternFill>
          <bgColor rgb="FFC0C0C0"/>
        </patternFill>
      </fill>
    </dxf>
    <dxf>
      <fill>
        <patternFill>
          <bgColor rgb="FFC0C0C0"/>
        </patternFill>
      </fill>
    </dxf>
    <dxf>
      <fill>
        <patternFill>
          <bgColor rgb="FFC0C0C0"/>
        </patternFill>
      </fill>
    </dxf>
    <dxf>
      <font>
        <name val="Arial"/>
        <strike val="0"/>
        <outline val="0"/>
        <shadow val="0"/>
        <color auto="1"/>
        <sz val="9"/>
        <vertAlign val="baseline"/>
      </font>
      <numFmt numFmtId="2" formatCode="0.00"/>
      <alignment horizontal="center" vertical="center"/>
      <protection locked="0" hidden="0"/>
    </dxf>
    <dxf>
      <font>
        <name val="Arial"/>
        <strike val="0"/>
        <outline val="0"/>
        <shadow val="0"/>
        <color auto="1"/>
        <sz val="9"/>
        <vertAlign val="baseline"/>
      </font>
      <numFmt numFmtId="2" formatCode="0.00"/>
      <alignment horizontal="center" vertical="center"/>
      <protection locked="0" hidden="0"/>
    </dxf>
    <dxf>
      <font>
        <name val="Arial"/>
        <strike val="0"/>
        <outline val="0"/>
        <shadow val="0"/>
        <condense val="0"/>
        <color auto="1"/>
        <extend val="0"/>
        <sz val="9"/>
        <vertAlign val="baseline"/>
      </font>
      <numFmt numFmtId="2" formatCode="0.00"/>
      <alignment horizontal="center" vertical="center"/>
      <protection locked="0" hidden="0"/>
    </dxf>
    <dxf>
      <font>
        <name val="Arial"/>
        <strike val="0"/>
        <outline val="0"/>
        <shadow val="0"/>
        <condense val="0"/>
        <color auto="1"/>
        <extend val="0"/>
        <sz val="9"/>
        <vertAlign val="baseline"/>
      </font>
      <numFmt numFmtId="2" formatCode="0.00"/>
      <fill>
        <patternFill>
          <fgColor indexed="64"/>
          <bgColor indexed="65"/>
        </patternFill>
      </fill>
      <alignment horizontal="center" vertical="center"/>
      <protection locked="0" hidden="0"/>
    </dxf>
    <dxf>
      <font>
        <name val="Arial"/>
        <strike val="0"/>
        <outline val="0"/>
        <shadow val="0"/>
        <condense val="0"/>
        <color auto="1"/>
        <extend val="0"/>
        <sz val="9"/>
        <vertAlign val="baseline"/>
      </font>
      <numFmt numFmtId="2" formatCode="0.00"/>
      <fill>
        <patternFill>
          <fgColor indexed="64"/>
          <bgColor indexed="65"/>
        </patternFill>
      </fill>
      <alignment horizontal="center" vertical="center"/>
      <protection locked="0" hidden="0"/>
    </dxf>
    <dxf>
      <font>
        <name val="Arial"/>
        <strike val="0"/>
        <outline val="0"/>
        <shadow val="0"/>
        <condense val="0"/>
        <color auto="1"/>
        <extend val="0"/>
        <sz val="9"/>
        <vertAlign val="baseline"/>
      </font>
      <numFmt numFmtId="2" formatCode="0.00"/>
      <fill>
        <patternFill>
          <fgColor indexed="64"/>
          <bgColor indexed="65"/>
        </patternFill>
      </fill>
      <alignment horizontal="center" vertical="center"/>
      <protection locked="0" hidden="0"/>
    </dxf>
    <dxf>
      <font>
        <name val="Arial"/>
        <strike val="0"/>
        <outline val="0"/>
        <shadow val="0"/>
        <condense val="0"/>
        <color auto="1"/>
        <extend val="0"/>
        <sz val="9"/>
        <vertAlign val="baseline"/>
      </font>
      <numFmt numFmtId="2" formatCode="0.00"/>
      <fill>
        <patternFill>
          <fgColor indexed="64"/>
          <bgColor indexed="65"/>
        </patternFill>
      </fill>
      <alignment horizontal="center" vertical="center"/>
      <protection locked="0" hidden="0"/>
    </dxf>
    <dxf>
      <font>
        <name val="Arial"/>
        <strike val="0"/>
        <outline val="0"/>
        <shadow val="0"/>
        <condense val="0"/>
        <color auto="1"/>
        <extend val="0"/>
        <sz val="9"/>
        <vertAlign val="baseline"/>
      </font>
      <numFmt numFmtId="2" formatCode="0.00"/>
      <fill>
        <patternFill>
          <fgColor indexed="64"/>
          <bgColor indexed="65"/>
        </patternFill>
      </fill>
      <alignment horizontal="center" vertical="center"/>
      <protection locked="0" hidden="0"/>
    </dxf>
    <dxf>
      <font>
        <name val="Arial"/>
        <strike val="0"/>
        <outline val="0"/>
        <shadow val="0"/>
        <condense val="0"/>
        <color auto="1"/>
        <extend val="0"/>
        <sz val="9"/>
        <vertAlign val="baseline"/>
      </font>
      <alignment horizontal="center" vertical="center"/>
      <protection locked="0" hidden="0"/>
    </dxf>
    <dxf>
      <font>
        <name val="Arial"/>
        <strike val="0"/>
        <outline val="0"/>
        <shadow val="0"/>
        <color auto="1"/>
        <sz val="9"/>
        <vertAlign val="baseline"/>
      </font>
      <alignment horizontal="center" vertical="center"/>
      <protection locked="0" hidden="0"/>
    </dxf>
    <dxf>
      <font>
        <name val="Arial"/>
        <strike val="0"/>
        <outline val="0"/>
        <shadow val="0"/>
        <color auto="1"/>
        <sz val="9"/>
        <vertAlign val="baseline"/>
      </font>
      <alignment horizontal="left" vertical="center"/>
      <protection locked="0" hidden="0"/>
    </dxf>
    <dxf>
      <font>
        <name val="Arial"/>
        <strike val="0"/>
        <outline val="0"/>
        <shadow val="0"/>
        <color auto="1"/>
        <sz val="9"/>
        <vertAlign val="baseline"/>
      </font>
      <alignment horizontal="center" vertical="center"/>
      <protection locked="0" hidden="0"/>
    </dxf>
    <dxf>
      <font>
        <name val="Arial"/>
        <strike val="0"/>
        <outline val="0"/>
        <shadow val="0"/>
        <condense val="0"/>
        <color auto="1"/>
        <extend val="0"/>
        <sz val="9"/>
        <vertAlign val="baseline"/>
      </font>
      <numFmt numFmtId="0" formatCode="General"/>
      <alignment horizontal="center" vertical="center" wrapText="1"/>
      <protection locked="0" hidden="0"/>
    </dxf>
    <dxf>
      <font>
        <name val="Arial"/>
        <strike val="0"/>
        <outline val="0"/>
        <shadow val="0"/>
        <condense val="0"/>
        <color auto="1"/>
        <extend val="0"/>
        <sz val="9"/>
        <vertAlign val="baseline"/>
      </font>
      <numFmt numFmtId="0" formatCode="General"/>
      <alignment horizontal="left" vertical="center" wrapText="1"/>
      <protection locked="0" hidden="0"/>
    </dxf>
    <dxf>
      <font>
        <name val="Arial"/>
        <strike val="0"/>
        <outline val="0"/>
        <shadow val="0"/>
        <color auto="1"/>
        <sz val="9"/>
        <vertAlign val="baseline"/>
      </font>
      <protection locked="0" hidden="0"/>
    </dxf>
    <dxf>
      <font>
        <name val="Arial"/>
        <b val="1"/>
        <strike val="0"/>
        <outline val="0"/>
        <shadow val="0"/>
        <condense val="0"/>
        <color auto="1"/>
        <extend val="0"/>
        <sz val="9"/>
        <vertAlign val="baseline"/>
      </font>
      <alignment horizontal="center" vertical="center"/>
      <protection locked="0" hidden="0"/>
    </dxf>
    <dxf>
      <fill>
        <patternFill patternType="solid">
          <fgColor rgb="FFD9D9D9"/>
          <bgColor rgb="FFD9D9D9"/>
        </patternFill>
      </fill>
    </dxf>
    <dxf>
      <fill>
        <patternFill patternType="solid">
          <fgColor rgb="FFD9D9D9"/>
          <bgColor rgb="FFD9D9D9"/>
        </patternFill>
      </fill>
    </dxf>
    <dxf>
      <font>
        <b val="1"/>
        <color rgb="FF000000"/>
      </font>
    </dxf>
    <dxf>
      <font>
        <b val="1"/>
        <color rgb="FF000000"/>
      </font>
    </dxf>
    <dxf>
      <font>
        <b val="1"/>
        <color rgb="FF000000"/>
      </font>
      <border>
        <top style="thin">
          <color rgb="FF000000"/>
        </top>
      </border>
    </dxf>
    <dxf>
      <font>
        <b val="1"/>
        <color rgb="FF000000"/>
      </font>
      <border>
        <bottom style="thin">
          <color rgb="FF000000"/>
        </bottom>
      </border>
    </dxf>
    <dxf>
      <font>
        <color rgb="FF000000"/>
      </font>
      <border>
        <top style="thin">
          <color rgb="FF000000"/>
        </top>
        <bottom style="thin">
          <color rgb="FF000000"/>
        </bottom>
      </border>
    </dxf>
  </dxfs>
  <tableStyles count="1" defaultTableStyle="TableStyleMedium2" defaultPivotStyle="PivotStyleLight16">
    <tableStyle name="TableStyleLight1 2" pivot="0" count="7">
      <tableStyleElement type="wholeTable" dxfId="84"/>
      <tableStyleElement type="headerRow" dxfId="83"/>
      <tableStyleElement type="totalRow" dxfId="82"/>
      <tableStyleElement type="firstColumn" dxfId="81"/>
      <tableStyleElement type="lastColumn" dxfId="80"/>
      <tableStyleElement type="firstRowStripe" dxfId="79"/>
      <tableStyleElement type="firstColumnStripe" dxfId="78"/>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styles" Target="styles.xml" Id="rId25" /><Relationship Type="http://schemas.openxmlformats.org/officeDocument/2006/relationships/theme" Target="theme/theme1.xml" Id="rId26" /></Relationships>
</file>

<file path=xl/tables/table1.xml><?xml version="1.0" encoding="utf-8"?>
<table xmlns="http://schemas.openxmlformats.org/spreadsheetml/2006/main" id="1" name="Table111" displayName="Table111" ref="B25:O47" headerRowCount="1" totalsRowShown="0" headerRowDxfId="77" dataDxfId="76">
  <tableColumns count="14">
    <tableColumn id="5" name="Requisito" dataDxfId="75"/>
    <tableColumn id="15" name="Funcionalidade" dataDxfId="74"/>
    <tableColumn id="1" name="Tipo" dataDxfId="73"/>
    <tableColumn id="2" name="Elementos" dataDxfId="72"/>
    <tableColumn id="3" name="Complexidade" dataDxfId="71"/>
    <tableColumn id="6" name="Quantidade" dataDxfId="70"/>
    <tableColumn id="14" name="EF" dataDxfId="69">
      <calculatedColumnFormula>IF(TYPE(VLOOKUP(CONCATENATE(Table111[[#This Row],[Tipo]],Table111[[#This Row],[Elementos]],Table111[[#This Row],[Complexidade]]),INDIRECT("'"&amp;$B$21&amp;"'!$E$120:$N$3000"),4,FALSE)*Table111[[#This Row],[Quantidade]])=16,"",VLOOKUP(CONCATENATE(Table111[[#This Row],[Tipo]],Table111[[#This Row],[Elementos]],Table111[[#This Row],[Complexidade]]),INDIRECT("'"&amp;$B$21&amp;"'!$E$120:$N$3000"),4,FALSE)*Table111[[#This Row],[Quantidade]])</calculatedColumnFormula>
    </tableColumn>
    <tableColumn id="13" name="ET" dataDxfId="68">
      <calculatedColumnFormula>IF(TYPE(VLOOKUP(CONCATENATE(Table111[[#This Row],[Tipo]],Table111[[#This Row],[Elementos]],Table111[[#This Row],[Complexidade]]),INDIRECT("'"&amp;$B$21&amp;"'!$E$120:$N$3000"),5,FALSE)*Table111[[#This Row],[Quantidade]])=16,"",VLOOKUP(CONCATENATE(Table111[[#This Row],[Tipo]],Table111[[#This Row],[Elementos]],Table111[[#This Row],[Complexidade]]),INDIRECT("'"&amp;$B$21&amp;"'!$E$120:$N$3000"),5,FALSE)*Table111[[#This Row],[Quantidade]])</calculatedColumnFormula>
    </tableColumn>
    <tableColumn id="12" name="Construção" dataDxfId="67">
      <calculatedColumnFormula>IF(TYPE(VLOOKUP(CONCATENATE(Table111[[#This Row],[Tipo]],Table111[[#This Row],[Elementos]],Table111[[#This Row],[Complexidade]]),INDIRECT("'"&amp;$B$21&amp;"'!$E$120:$N$3000"),6,FALSE)*Table111[[#This Row],[Quantidade]])=16,"",VLOOKUP(CONCATENATE(Table111[[#This Row],[Tipo]],Table111[[#This Row],[Elementos]],Table111[[#This Row],[Complexidade]]),INDIRECT("'"&amp;$B$21&amp;"'!$E$120:$N$3000"),6,FALSE)*Table111[[#This Row],[Quantidade]])</calculatedColumnFormula>
    </tableColumn>
    <tableColumn id="11" name="QA" dataDxfId="66">
      <calculatedColumnFormula>IF(TYPE(VLOOKUP(CONCATENATE(Table111[[#This Row],[Tipo]],Table111[[#This Row],[Elementos]],Table111[[#This Row],[Complexidade]]),INDIRECT("'"&amp;$B$21&amp;"'!$E$120:$N$3000"),7,FALSE)*Table111[[#This Row],[Quantidade]])=16,"",VLOOKUP(CONCATENATE(Table111[[#This Row],[Tipo]],Table111[[#This Row],[Elementos]],Table111[[#This Row],[Complexidade]]),INDIRECT("'"&amp;$B$21&amp;"'!$E$120:$N$3000"),7,FALSE)*Table111[[#This Row],[Quantidade]])</calculatedColumnFormula>
    </tableColumn>
    <tableColumn id="10" name="Homologação" dataDxfId="65">
      <calculatedColumnFormula>IF(TYPE(VLOOKUP(CONCATENATE(Table111[[#This Row],[Tipo]],Table111[[#This Row],[Elementos]],Table111[[#This Row],[Complexidade]]),INDIRECT("'"&amp;$B$21&amp;"'!$E$120:$N$3000"),8,FALSE)*Table111[[#This Row],[Quantidade]])=16,"",VLOOKUP(CONCATENATE(Table111[[#This Row],[Tipo]],Table111[[#This Row],[Elementos]],Table111[[#This Row],[Complexidade]]),INDIRECT("'"&amp;$B$21&amp;"'!$E$120:$N$3000"),8,FALSE)*Table111[[#This Row],[Quantidade]])</calculatedColumnFormula>
    </tableColumn>
    <tableColumn id="9" name="TecLead" dataDxfId="64">
      <calculatedColumnFormula>12%*SUM(Table111[[#This Row],[EF]:[Homologação]])</calculatedColumnFormula>
    </tableColumn>
    <tableColumn id="4" name="Column2" dataDxfId="63"/>
    <tableColumn id="7" name="Total Esforço" dataDxfId="62">
      <calculatedColumnFormula>SUM(Table111[[#This Row],[EF]:[TecLead]])</calculatedColumnFormula>
    </tableColumn>
  </tableColumns>
  <tableStyleInfo name="TableStyleLight1 2" showFirstColumn="0" showLastColumn="0" showRowStripes="1" showColumnStripes="0"/>
</table>
</file>

<file path=xl/theme/theme1.xml><?xml version="1.0" encoding="utf-8"?>
<a:theme xmlns:a="http://schemas.openxmlformats.org/drawingml/2006/main" name="Tema do Office">
  <a:themeElements>
    <a:clrScheme name="Escritório">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Escritório">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Escritório">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table" Target="/xl/tables/table1.xml" Id="rId1" /></Relationships>
</file>

<file path=xl/worksheets/sheet1.xml><?xml version="1.0" encoding="utf-8"?>
<worksheet xmlns="http://schemas.openxmlformats.org/spreadsheetml/2006/main">
  <sheetPr codeName="Plan1">
    <outlinePr summaryBelow="1" summaryRight="1"/>
    <pageSetUpPr/>
  </sheetPr>
  <dimension ref="A1:T150"/>
  <sheetViews>
    <sheetView tabSelected="1" topLeftCell="A10" zoomScale="85" zoomScaleNormal="85" workbookViewId="0">
      <selection activeCell="E28" sqref="E28"/>
    </sheetView>
  </sheetViews>
  <sheetFormatPr baseColWidth="8" defaultColWidth="8.7109375" defaultRowHeight="13.15"/>
  <cols>
    <col width="5.28515625" customWidth="1" style="366" min="1" max="1"/>
    <col width="19.28515625" customWidth="1" style="366" min="2" max="2"/>
    <col width="28.28515625" customWidth="1" style="366" min="3" max="3"/>
    <col width="17.42578125" customWidth="1" style="366" min="4" max="4"/>
    <col width="26.28515625" customWidth="1" style="366" min="5" max="5"/>
    <col width="17.42578125" customWidth="1" style="366" min="6" max="6"/>
    <col width="17.42578125" customWidth="1" style="188" min="7" max="7"/>
    <col width="15.7109375" customWidth="1" style="366" min="8" max="11"/>
    <col width="13.28515625" customWidth="1" style="366" min="12" max="12"/>
    <col width="12.42578125" customWidth="1" style="366" min="13" max="13"/>
    <col width="8.42578125" customWidth="1" style="366" min="14" max="14"/>
    <col width="13.7109375" customWidth="1" style="366" min="15" max="15"/>
    <col width="13.5703125" customWidth="1" style="366" min="16" max="16"/>
    <col width="14.28515625" customWidth="1" style="366" min="17" max="17"/>
    <col width="8.5703125" customWidth="1" style="366" min="18" max="18"/>
    <col width="8.7109375" customWidth="1" style="366" min="19" max="16384"/>
  </cols>
  <sheetData>
    <row r="1" ht="48.6" customFormat="1" customHeight="1" s="365">
      <c r="G1" s="240" t="n"/>
      <c r="O1" s="365" t="n"/>
      <c r="P1" s="368" t="n"/>
      <c r="Q1" s="368" t="n"/>
      <c r="R1" s="368" t="n"/>
      <c r="S1" s="368" t="n"/>
    </row>
    <row r="2" ht="48.6" customFormat="1" customHeight="1" s="365">
      <c r="G2" s="240" t="n"/>
    </row>
    <row r="3" ht="22.15" customFormat="1" customHeight="1" s="365">
      <c r="G3" s="240" t="n"/>
    </row>
    <row r="4" ht="7.9" customFormat="1" customHeight="1" s="241">
      <c r="G4" s="242" t="n"/>
    </row>
    <row r="5" ht="9.6" customFormat="1" customHeight="1" s="365">
      <c r="B5" s="243" t="n"/>
      <c r="C5" s="244" t="n"/>
      <c r="G5" s="240" t="n"/>
    </row>
    <row r="6" ht="7.9" customFormat="1" customHeight="1" s="185">
      <c r="G6" s="186" t="n"/>
    </row>
    <row r="7" ht="8.1" customHeight="1"/>
    <row r="8" ht="15" customHeight="1">
      <c r="B8" s="256" t="inlineStr">
        <is>
          <t>Fases:</t>
        </is>
      </c>
      <c r="C8" s="369" t="inlineStr">
        <is>
          <t>HORAS EXTRAS</t>
        </is>
      </c>
      <c r="D8" s="370" t="n"/>
      <c r="E8" s="370" t="n"/>
      <c r="F8" s="370" t="n"/>
      <c r="G8" s="371" t="n"/>
      <c r="H8" s="219" t="inlineStr">
        <is>
          <t>TOTAL HORAS EXECUTAS EM hN</t>
        </is>
      </c>
      <c r="I8" s="219" t="inlineStr">
        <is>
          <t>TOTAL HORAS EXECUTAS EM hE</t>
        </is>
      </c>
      <c r="J8" s="219" t="inlineStr">
        <is>
          <t>TOTAL
Fator Ajuste hE</t>
        </is>
      </c>
      <c r="K8" s="372" t="inlineStr">
        <is>
          <t>CUSTO TOTAL EM (hN+hE+FA)</t>
        </is>
      </c>
      <c r="L8" s="372" t="inlineStr">
        <is>
          <t>%</t>
        </is>
      </c>
      <c r="Q8" s="259" t="n"/>
    </row>
    <row r="9" ht="30.6" customHeight="1">
      <c r="B9" s="373" t="n"/>
      <c r="C9" s="219" t="inlineStr">
        <is>
          <t>Segunda - Sexta-Feira  
18hs as 20hs
(fator: + 50%)</t>
        </is>
      </c>
      <c r="D9" s="219" t="inlineStr">
        <is>
          <t>Segunda - Sexta-Feira  
20hs as 22hs
(fator: + 75%)</t>
        </is>
      </c>
      <c r="E9" s="219" t="inlineStr">
        <is>
          <t>Segunda - Sexta-Feira  
22hs as 07hs
(fator: + 100%)</t>
        </is>
      </c>
      <c r="F9" s="219" t="inlineStr">
        <is>
          <t>Sábado
(Fator: + 100%)</t>
        </is>
      </c>
      <c r="G9" s="219" t="inlineStr">
        <is>
          <t>Domingos e Feriados 
(Fator: + 125%)</t>
        </is>
      </c>
      <c r="H9" s="373" t="n"/>
      <c r="I9" s="373" t="n"/>
      <c r="J9" s="373" t="n"/>
      <c r="K9" s="373" t="n"/>
      <c r="L9" s="373" t="n"/>
      <c r="Q9" s="368" t="n"/>
    </row>
    <row r="10">
      <c r="B10" s="189" t="inlineStr">
        <is>
          <t>SR</t>
        </is>
      </c>
      <c r="C10" s="218" t="n">
        <v>0</v>
      </c>
      <c r="D10" s="218" t="n">
        <v>0</v>
      </c>
      <c r="E10" s="218" t="n">
        <v>0</v>
      </c>
      <c r="F10" s="218" t="n">
        <v>0</v>
      </c>
      <c r="G10" s="218" t="n">
        <v>0</v>
      </c>
      <c r="H10" s="190" t="n">
        <v>0</v>
      </c>
      <c r="I10" s="190">
        <f>SUM(A10:E10)</f>
        <v/>
      </c>
      <c r="J10" s="190">
        <f>SUM(B10:F10)</f>
        <v/>
      </c>
      <c r="K10" s="257">
        <f>SUM(C10:G10)</f>
        <v/>
      </c>
      <c r="L10" s="191">
        <f>IFERROR(#REF!/$K$17,0)</f>
        <v/>
      </c>
      <c r="Q10" s="259" t="n"/>
    </row>
    <row r="11">
      <c r="B11" s="189" t="inlineStr">
        <is>
          <t>EF</t>
        </is>
      </c>
      <c r="C11" s="218" t="n"/>
      <c r="D11" s="218" t="n"/>
      <c r="E11" s="218" t="n"/>
      <c r="F11" s="218" t="n"/>
      <c r="G11" s="218" t="n"/>
      <c r="H11" s="221">
        <f>H24-SUM(C11:G11)+(H16/5)</f>
        <v/>
      </c>
      <c r="I11" s="221">
        <f>SUM(C11:G11)</f>
        <v/>
      </c>
      <c r="J11" s="221">
        <f>(C11*0.5)+(D11*0.75)+(E11*1)+(F11*1)+(G11*1.25)</f>
        <v/>
      </c>
      <c r="K11" s="226">
        <f>SUM(H11:J11)</f>
        <v/>
      </c>
      <c r="L11" s="227">
        <f>IFERROR((K11)/$K$17,0)</f>
        <v/>
      </c>
      <c r="Q11" s="192" t="n"/>
    </row>
    <row r="12">
      <c r="B12" s="189" t="inlineStr">
        <is>
          <t>ET</t>
        </is>
      </c>
      <c r="C12" s="218" t="n"/>
      <c r="D12" s="218" t="n"/>
      <c r="E12" s="218" t="n"/>
      <c r="F12" s="218" t="n"/>
      <c r="G12" s="218" t="n"/>
      <c r="H12" s="221">
        <f>I24-SUM(C12:G12)+(H16/5)</f>
        <v/>
      </c>
      <c r="I12" s="221">
        <f>SUM(C12:G12)</f>
        <v/>
      </c>
      <c r="J12" s="221">
        <f>(C12*0.5)+(D12*0.75)+(E12*1)+(F12*1)+(G12*1.25)</f>
        <v/>
      </c>
      <c r="K12" s="226">
        <f>SUM(H12:J12)</f>
        <v/>
      </c>
      <c r="L12" s="227">
        <f>IFERROR((K12)/$K$17,0)</f>
        <v/>
      </c>
      <c r="Q12" s="192" t="n"/>
    </row>
    <row r="13">
      <c r="B13" s="189" t="inlineStr">
        <is>
          <t>Construção</t>
        </is>
      </c>
      <c r="C13" s="218" t="n"/>
      <c r="D13" s="218" t="n"/>
      <c r="E13" s="218" t="n"/>
      <c r="F13" s="218" t="n"/>
      <c r="G13" s="218" t="n"/>
      <c r="H13" s="221">
        <f>J24-SUM(C13:G13)+(H16/5)</f>
        <v/>
      </c>
      <c r="I13" s="221">
        <f>SUM(C13:G13)</f>
        <v/>
      </c>
      <c r="J13" s="221">
        <f>(C13*0.5)+(D13*0.75)+(E13*1)+(F13*1)+(G13*1.25)</f>
        <v/>
      </c>
      <c r="K13" s="226">
        <f>SUM(H13:J13)</f>
        <v/>
      </c>
      <c r="L13" s="227">
        <f>IFERROR((K13)/$K$17,0)</f>
        <v/>
      </c>
      <c r="Q13" s="192" t="n"/>
    </row>
    <row r="14">
      <c r="B14" s="189" t="inlineStr">
        <is>
          <t>QA</t>
        </is>
      </c>
      <c r="C14" s="218" t="n"/>
      <c r="D14" s="218" t="n"/>
      <c r="E14" s="218" t="n"/>
      <c r="F14" s="218" t="n"/>
      <c r="G14" s="218" t="n"/>
      <c r="H14" s="221">
        <f>K24-SUM(C14:G14)+(H16/5)</f>
        <v/>
      </c>
      <c r="I14" s="221" t="n">
        <v>0</v>
      </c>
      <c r="J14" s="221">
        <f>(C14*0.5)+(D14*0.75)+(E14*1)+(F14*1)+(G14*1.25)</f>
        <v/>
      </c>
      <c r="K14" s="226">
        <f>SUM(H14:J14)</f>
        <v/>
      </c>
      <c r="L14" s="227">
        <f>IFERROR((K14)/$K$17,0)</f>
        <v/>
      </c>
      <c r="Q14" s="192" t="n"/>
    </row>
    <row r="15">
      <c r="B15" s="189" t="inlineStr">
        <is>
          <t>Homologação</t>
        </is>
      </c>
      <c r="C15" s="218" t="n"/>
      <c r="D15" s="218" t="n"/>
      <c r="E15" s="218" t="n"/>
      <c r="F15" s="218" t="n"/>
      <c r="G15" s="218" t="n"/>
      <c r="H15" s="221">
        <f>L24-SUM(C15:G15)+(H16/5)</f>
        <v/>
      </c>
      <c r="I15" s="221" t="n">
        <v>0</v>
      </c>
      <c r="J15" s="221">
        <f>(C15*0.5)+(D15*0.75)+(E15*1)+(F15*1)+(G15*1.25)</f>
        <v/>
      </c>
      <c r="K15" s="226">
        <f>SUM(H15:J15)</f>
        <v/>
      </c>
      <c r="L15" s="227">
        <f>IFERROR((K15)/$K$17,0)</f>
        <v/>
      </c>
      <c r="Q15" s="192" t="n"/>
    </row>
    <row r="16">
      <c r="B16" s="189" t="inlineStr">
        <is>
          <t>TechLead</t>
        </is>
      </c>
      <c r="C16" s="218" t="n"/>
      <c r="D16" s="218" t="n"/>
      <c r="E16" s="218" t="n"/>
      <c r="F16" s="218" t="n"/>
      <c r="G16" s="218" t="n"/>
      <c r="H16" s="246">
        <f>M24</f>
        <v/>
      </c>
      <c r="I16" s="221" t="n">
        <v>0</v>
      </c>
      <c r="J16" s="221">
        <f>(C16*0.5)+(D16*0.75)+(E16*1)+(F16*1)+(G16*1.25)</f>
        <v/>
      </c>
      <c r="K16" s="247">
        <f>SUM(H16:J16)</f>
        <v/>
      </c>
      <c r="L16" s="248">
        <f>IFERROR((K16)/$K$17,0)</f>
        <v/>
      </c>
      <c r="M16" s="374" t="n"/>
      <c r="N16" s="375" t="n"/>
      <c r="Q16" s="192" t="n"/>
    </row>
    <row r="17">
      <c r="B17" s="193" t="inlineStr">
        <is>
          <t>Total Geral</t>
        </is>
      </c>
      <c r="C17" s="222">
        <f>SUM(C11:C15)</f>
        <v/>
      </c>
      <c r="D17" s="222">
        <f>SUM(D11:D15)</f>
        <v/>
      </c>
      <c r="E17" s="222">
        <f>SUM(E11:E15)</f>
        <v/>
      </c>
      <c r="F17" s="222">
        <f>SUM(F11:F15)</f>
        <v/>
      </c>
      <c r="G17" s="222">
        <f>SUM(G11:G15)</f>
        <v/>
      </c>
      <c r="H17" s="225">
        <f>SUM(H10:H15)</f>
        <v/>
      </c>
      <c r="I17" s="225">
        <f>SUM(I10:I16)</f>
        <v/>
      </c>
      <c r="J17" s="225">
        <f>SUM(J10:J16)</f>
        <v/>
      </c>
      <c r="K17" s="223">
        <f>SUM(K10:K15)</f>
        <v/>
      </c>
      <c r="L17" s="224" t="n"/>
    </row>
    <row r="18" ht="12" customHeight="1"/>
    <row r="19" ht="7.9" customFormat="1" customHeight="1" s="185">
      <c r="G19" s="186" t="n"/>
    </row>
    <row r="20" ht="9.6" customHeight="1">
      <c r="B20" s="194" t="n"/>
      <c r="N20" s="366" t="n"/>
      <c r="O20" s="368" t="n"/>
      <c r="P20" s="368" t="n"/>
      <c r="Q20" s="368" t="n"/>
      <c r="R20" s="368" t="n"/>
      <c r="S20" s="368" t="n"/>
    </row>
    <row r="21" ht="15" customHeight="1">
      <c r="B21" s="195" t="inlineStr">
        <is>
          <t>Dot Net</t>
        </is>
      </c>
      <c r="C21" t="inlineStr">
        <is>
          <t>DEMANDA-4425</t>
        </is>
      </c>
      <c r="E21" s="196" t="n"/>
      <c r="F21" s="197" t="n"/>
      <c r="N21" s="368" t="n"/>
      <c r="O21" s="368" t="n"/>
      <c r="P21" s="368" t="n"/>
      <c r="Q21" s="368" t="n"/>
      <c r="R21" s="368" t="n"/>
      <c r="S21" s="368" t="n"/>
    </row>
    <row r="22" ht="9.6" customHeight="1">
      <c r="B22" s="194" t="n"/>
    </row>
    <row r="23" ht="7.9" customFormat="1" customHeight="1" s="185">
      <c r="G23" s="186" t="n"/>
    </row>
    <row r="24" ht="13.9" customHeight="1">
      <c r="B24" s="198" t="n"/>
      <c r="C24" s="199" t="n"/>
      <c r="E24" s="200" t="n"/>
      <c r="G24" s="366" t="n"/>
      <c r="H24" s="245">
        <f>SUBTOTAL(9,Table111[EF])</f>
        <v/>
      </c>
      <c r="I24" s="245">
        <f>SUBTOTAL(9,Table111[ET])</f>
        <v/>
      </c>
      <c r="J24" s="245">
        <f>SUBTOTAL(9,Table111[Construção])</f>
        <v/>
      </c>
      <c r="K24" s="245">
        <f>SUBTOTAL(9,Table111[QA])</f>
        <v/>
      </c>
      <c r="L24" s="245">
        <f>SUBTOTAL(9,Table111[Homologação])</f>
        <v/>
      </c>
      <c r="M24" s="245">
        <f>SUBTOTAL(9,Table111[TecLead])</f>
        <v/>
      </c>
      <c r="N24" s="201" t="n"/>
      <c r="O24" s="202">
        <f>SUBTOTAL(9,Table111[Total Esforço])</f>
        <v/>
      </c>
      <c r="Q24" s="203" t="n"/>
    </row>
    <row r="25" ht="18" customHeight="1">
      <c r="B25" s="204" t="inlineStr">
        <is>
          <t>Requisito</t>
        </is>
      </c>
      <c r="C25" s="204" t="inlineStr">
        <is>
          <t>Funcionalidade</t>
        </is>
      </c>
      <c r="D25" s="204" t="inlineStr">
        <is>
          <t>Tipo</t>
        </is>
      </c>
      <c r="E25" s="204" t="inlineStr">
        <is>
          <t>Elementos</t>
        </is>
      </c>
      <c r="F25" s="204" t="inlineStr">
        <is>
          <t>Complexidade</t>
        </is>
      </c>
      <c r="G25" s="205" t="inlineStr">
        <is>
          <t>Quantidade</t>
        </is>
      </c>
      <c r="H25" s="205">
        <f>IF(J25=0, 0, J25 * 0.20)</f>
        <v/>
      </c>
      <c r="I25" s="205">
        <f>IF(J25=0, 0, J25 * 0.10)</f>
        <v/>
      </c>
      <c r="J25" s="205">
        <f>IF(OR($B$21="", D25="", E25="", F25=""), 0, SUMIFS(INDEX(INDIRECT("'"&amp;$B$21&amp;"'!D:H"), 0, MATCH(F25, INDIRECT("'"&amp;$B$21&amp;"'!D1:H1"), 0)), INDIRECT("'"&amp;$B$21&amp;"'!A:A"), D25, INDIRECT("'"&amp;$B$21&amp;"'!C:C"), E25) * IF(G25="", 1, G25))</f>
        <v/>
      </c>
      <c r="K25" s="205">
        <f>IF(J25=0, 0, J25 * 0.40)</f>
        <v/>
      </c>
      <c r="L25" s="205">
        <f>IF(J25=0, 0, J25 * 0.15)</f>
        <v/>
      </c>
      <c r="M25" s="205">
        <f>IF(J25=0, 0, J25 * 0.15)</f>
        <v/>
      </c>
      <c r="N25" s="206" t="inlineStr">
        <is>
          <t>Column2</t>
        </is>
      </c>
      <c r="O25" s="205">
        <f>SUM(H25:M25)</f>
        <v/>
      </c>
      <c r="T25" s="203" t="inlineStr">
        <is>
          <t>Média</t>
        </is>
      </c>
    </row>
    <row r="26" ht="22.9" customHeight="1">
      <c r="B26" s="229" t="n">
        <v>1</v>
      </c>
      <c r="C26" s="229" t="inlineStr">
        <is>
          <t>Criar novo serviço para importar cobranças com threads</t>
        </is>
      </c>
      <c r="D26" s="230" t="inlineStr">
        <is>
          <t>Novo</t>
        </is>
      </c>
      <c r="E26" s="220" t="inlineStr">
        <is>
          <t>Formulário (Web / Windows Forms)</t>
        </is>
      </c>
      <c r="F26" s="228" t="inlineStr">
        <is>
          <t>Baixa</t>
        </is>
      </c>
      <c r="G26" s="230" t="n">
        <v>1</v>
      </c>
      <c r="H26" s="251">
        <f>IF(J26=0, 0, J26 * 0.20)</f>
        <v/>
      </c>
      <c r="I26" s="251">
        <f>IF(J26=0, 0, J26 * 0.10)</f>
        <v/>
      </c>
      <c r="J26" s="251">
        <f>IF(OR($B$21="", D26="", E26="", F26=""), 0, SUMIFS(INDEX(INDIRECT("'"&amp;$B$21&amp;"'!D:H"), 0, MATCH(F26, INDIRECT("'"&amp;$B$21&amp;"'!D1:H1"), 0)), INDIRECT("'"&amp;$B$21&amp;"'!A:A"), D26, INDIRECT("'"&amp;$B$21&amp;"'!C:C"), E26) * IF(G26="", 1, G26))</f>
        <v/>
      </c>
      <c r="K26" s="183">
        <f>IF(J26=0, 0, J26 * 0.40)</f>
        <v/>
      </c>
      <c r="L26" s="251">
        <f>IF(J26=0, 0, J26 * 0.15)</f>
        <v/>
      </c>
      <c r="M26" s="251">
        <f>IF(J26=0, 0, J26 * 0.15)</f>
        <v/>
      </c>
      <c r="N26" s="183" t="n"/>
      <c r="O26" s="183">
        <f>SUM(H26:M26)</f>
        <v/>
      </c>
      <c r="T26" s="203" t="n"/>
    </row>
    <row r="27" ht="39" customHeight="1">
      <c r="B27" s="229" t="n">
        <v>2</v>
      </c>
      <c r="C27" s="182" t="inlineStr">
        <is>
          <t>Criar novo menu para importar planilha para ser processada GMP SITE</t>
        </is>
      </c>
      <c r="D27" s="228" t="inlineStr">
        <is>
          <t>Novo</t>
        </is>
      </c>
      <c r="E27" s="220" t="inlineStr">
        <is>
          <t>Formulário (Web / Windows Forms)</t>
        </is>
      </c>
      <c r="F27" s="228" t="inlineStr">
        <is>
          <t>Muito Baixa</t>
        </is>
      </c>
      <c r="G27" s="228" t="n">
        <v>1</v>
      </c>
      <c r="H27" s="251">
        <f>IF(J27=0, 0, J27 * 0.20)</f>
        <v/>
      </c>
      <c r="I27" s="251">
        <f>IF(J27=0, 0, J27 * 0.10)</f>
        <v/>
      </c>
      <c r="J27" s="251">
        <f>IF(OR($B$21="", D27="", E27="", F27=""), 0, SUMIFS(INDEX(INDIRECT("'"&amp;$B$21&amp;"'!D:H"), 0, MATCH(F27, INDIRECT("'"&amp;$B$21&amp;"'!D1:H1"), 0)), INDIRECT("'"&amp;$B$21&amp;"'!A:A"), D27, INDIRECT("'"&amp;$B$21&amp;"'!C:C"), E27) * IF(G27="", 1, G27))</f>
        <v/>
      </c>
      <c r="K27" s="183">
        <f>IF(J27=0, 0, J27 * 0.40)</f>
        <v/>
      </c>
      <c r="L27" s="251">
        <f>IF(J27=0, 0, J27 * 0.15)</f>
        <v/>
      </c>
      <c r="M27" s="251">
        <f>IF(J27=0, 0, J27 * 0.15)</f>
        <v/>
      </c>
      <c r="N27" s="183" t="n"/>
      <c r="O27" s="183">
        <f>SUM(H27:M27)</f>
        <v/>
      </c>
    </row>
    <row r="28" ht="51.6" customHeight="1">
      <c r="B28" s="254" t="n">
        <v>3</v>
      </c>
      <c r="C28" s="182" t="inlineStr">
        <is>
          <t>Criar novoEndPoint GMP api para receber planilha e processar cobranças</t>
        </is>
      </c>
      <c r="D28" s="228" t="inlineStr">
        <is>
          <t>Novo</t>
        </is>
      </c>
      <c r="E28" s="220" t="inlineStr">
        <is>
          <t>Regra</t>
        </is>
      </c>
      <c r="F28" s="228" t="inlineStr">
        <is>
          <t>Muito Baixa</t>
        </is>
      </c>
      <c r="G28" s="228" t="n">
        <v>1</v>
      </c>
      <c r="H28" s="251">
        <f>IF(J28=0, 0, J28 * 0.20)</f>
        <v/>
      </c>
      <c r="I28" s="251">
        <f>IF(J28=0, 0, J28 * 0.10)</f>
        <v/>
      </c>
      <c r="J28" s="251">
        <f>IF(OR($B$21="", D28="", E28="", F28=""), 0, SUMIFS(INDEX(INDIRECT("'"&amp;$B$21&amp;"'!D:H"), 0, MATCH(F28, INDIRECT("'"&amp;$B$21&amp;"'!D1:H1"), 0)), INDIRECT("'"&amp;$B$21&amp;"'!A:A"), D28, INDIRECT("'"&amp;$B$21&amp;"'!C:C"), E28) * IF(G28="", 1, G28))</f>
        <v/>
      </c>
      <c r="K28" s="183">
        <f>IF(J28=0, 0, J28 * 0.40)</f>
        <v/>
      </c>
      <c r="L28" s="251">
        <f>IF(J28=0, 0, J28 * 0.15)</f>
        <v/>
      </c>
      <c r="M28" s="251">
        <f>IF(J28=0, 0, J28 * 0.15)</f>
        <v/>
      </c>
      <c r="N28" s="183" t="n"/>
      <c r="O28" s="183">
        <f>SUM(H28:M28)</f>
        <v/>
      </c>
    </row>
    <row r="29" ht="51.6" customHeight="1">
      <c r="B29" s="254" t="n">
        <v>4</v>
      </c>
      <c r="C29" s="182" t="inlineStr">
        <is>
          <t xml:space="preserve">Montar grid para mostrar as parcelas status de processamento , erros , enviadas </t>
        </is>
      </c>
      <c r="D29" s="252" t="inlineStr">
        <is>
          <t>Novo</t>
        </is>
      </c>
      <c r="E29" s="253" t="inlineStr">
        <is>
          <t>Interface (Inbound)</t>
        </is>
      </c>
      <c r="F29" s="252" t="inlineStr">
        <is>
          <t>Média</t>
        </is>
      </c>
      <c r="G29" s="252" t="n">
        <v>1</v>
      </c>
      <c r="H29" s="255">
        <f>IF(J29=0, 0, J29 * 0.20)</f>
        <v/>
      </c>
      <c r="I29" s="255">
        <f>IF(J29=0, 0, J29 * 0.10)</f>
        <v/>
      </c>
      <c r="J29" s="255">
        <f>IF(OR($B$21="", D29="", E29="", F29=""), 0, SUMIFS(INDEX(INDIRECT("'"&amp;$B$21&amp;"'!D:H"), 0, MATCH(F29, INDIRECT("'"&amp;$B$21&amp;"'!D1:H1"), 0)), INDIRECT("'"&amp;$B$21&amp;"'!A:A"), D29, INDIRECT("'"&amp;$B$21&amp;"'!C:C"), E29) * IF(G29="", 1, G29))</f>
        <v/>
      </c>
      <c r="K29" s="255">
        <f>IF(J29=0, 0, J29 * 0.40)</f>
        <v/>
      </c>
      <c r="L29" s="255">
        <f>IF(J29=0, 0, J29 * 0.15)</f>
        <v/>
      </c>
      <c r="M29" s="255">
        <f>IF(J29=0, 0, J29 * 0.15)</f>
        <v/>
      </c>
      <c r="N29" s="255" t="n"/>
      <c r="O29" s="255">
        <f>SUM(H29:M29)</f>
        <v/>
      </c>
    </row>
    <row r="30" ht="34.15" customHeight="1">
      <c r="B30" s="229" t="n">
        <v>5</v>
      </c>
      <c r="C30" s="182" t="inlineStr">
        <is>
          <t>Criar nova tabela no banco para guardar as informações das processada</t>
        </is>
      </c>
      <c r="D30" s="228" t="inlineStr">
        <is>
          <t>Novo</t>
        </is>
      </c>
      <c r="E30" s="220" t="inlineStr">
        <is>
          <t>Formulário (Web / Windows Forms)</t>
        </is>
      </c>
      <c r="F30" s="228" t="inlineStr">
        <is>
          <t>Média</t>
        </is>
      </c>
      <c r="G30" s="228" t="n">
        <v>1</v>
      </c>
      <c r="H30" s="183">
        <f>IF(J30=0, 0, J30 * 0.20)</f>
        <v/>
      </c>
      <c r="I30" s="183">
        <f>IF(J30=0, 0, J30 * 0.10)</f>
        <v/>
      </c>
      <c r="J30" s="183">
        <f>IF(OR($B$21="", D30="", E30="", F30=""), 0, SUMIFS(INDEX(INDIRECT("'"&amp;$B$21&amp;"'!D:H"), 0, MATCH(F30, INDIRECT("'"&amp;$B$21&amp;"'!D1:H1"), 0)), INDIRECT("'"&amp;$B$21&amp;"'!A:A"), D30, INDIRECT("'"&amp;$B$21&amp;"'!C:C"), E30) * IF(G30="", 1, G30))</f>
        <v/>
      </c>
      <c r="K30" s="183">
        <f>IF(J30=0, 0, J30 * 0.40)</f>
        <v/>
      </c>
      <c r="L30" s="183">
        <f>IF(J30=0, 0, J30 * 0.15)</f>
        <v/>
      </c>
      <c r="M30" s="183">
        <f>IF(J30=0, 0, J30 * 0.15)</f>
        <v/>
      </c>
      <c r="N30" s="183" t="n"/>
      <c r="O30" s="183">
        <f>SUM(H30:M30)</f>
        <v/>
      </c>
    </row>
    <row r="31">
      <c r="B31" s="229" t="n"/>
      <c r="C31" s="182" t="n"/>
      <c r="D31" s="228" t="n"/>
      <c r="E31" s="220" t="n"/>
      <c r="F31" s="228" t="n"/>
      <c r="G31" s="228" t="n"/>
      <c r="H31" s="183">
        <f>IF(J31=0, 0, J31 * 0.20)</f>
        <v/>
      </c>
      <c r="I31" s="183">
        <f>IF(J31=0, 0, J31 * 0.10)</f>
        <v/>
      </c>
      <c r="J31" s="183">
        <f>IF(OR($B$21="", D31="", E31="", F31=""), 0, SUMIFS(INDEX(INDIRECT("'"&amp;$B$21&amp;"'!D:H"), 0, MATCH(F31, INDIRECT("'"&amp;$B$21&amp;"'!D1:H1"), 0)), INDIRECT("'"&amp;$B$21&amp;"'!A:A"), D31, INDIRECT("'"&amp;$B$21&amp;"'!C:C"), E31) * IF(G31="", 1, G31))</f>
        <v/>
      </c>
      <c r="K31" s="183">
        <f>IF(J31=0, 0, J31 * 0.40)</f>
        <v/>
      </c>
      <c r="L31" s="183">
        <f>IF(J31=0, 0, J31 * 0.15)</f>
        <v/>
      </c>
      <c r="M31" s="183">
        <f>IF(J31=0, 0, J31 * 0.15)</f>
        <v/>
      </c>
      <c r="N31" s="183" t="n"/>
      <c r="O31" s="183">
        <f>SUM(H31:M31)</f>
        <v/>
      </c>
    </row>
    <row r="32">
      <c r="B32" s="182" t="n"/>
      <c r="C32" s="182" t="n"/>
      <c r="D32" s="228" t="n"/>
      <c r="E32" s="220" t="n"/>
      <c r="F32" s="228" t="n"/>
      <c r="G32" s="228" t="n"/>
      <c r="H32" s="183">
        <f>IF(J32=0, 0, J32 * 0.20)</f>
        <v/>
      </c>
      <c r="I32" s="183">
        <f>IF(J32=0, 0, J32 * 0.10)</f>
        <v/>
      </c>
      <c r="J32" s="183">
        <f>IF(OR($B$21="", D32="", E32="", F32=""), 0, SUMIFS(INDEX(INDIRECT("'"&amp;$B$21&amp;"'!D:H"), 0, MATCH(F32, INDIRECT("'"&amp;$B$21&amp;"'!D1:H1"), 0)), INDIRECT("'"&amp;$B$21&amp;"'!A:A"), D32, INDIRECT("'"&amp;$B$21&amp;"'!C:C"), E32) * IF(G32="", 1, G32))</f>
        <v/>
      </c>
      <c r="K32" s="183">
        <f>IF(J32=0, 0, J32 * 0.40)</f>
        <v/>
      </c>
      <c r="L32" s="183">
        <f>IF(J32=0, 0, J32 * 0.15)</f>
        <v/>
      </c>
      <c r="M32" s="183">
        <f>IF(J32=0, 0, J32 * 0.15)</f>
        <v/>
      </c>
      <c r="N32" s="183" t="n"/>
      <c r="O32" s="183">
        <f>SUM(H32:M32)</f>
        <v/>
      </c>
    </row>
    <row r="33">
      <c r="B33" s="229" t="n"/>
      <c r="C33" s="182" t="n"/>
      <c r="D33" s="228" t="n"/>
      <c r="E33" s="220" t="n"/>
      <c r="F33" s="228" t="n"/>
      <c r="G33" s="228" t="n"/>
      <c r="H33" s="183">
        <f>IF(J33=0, 0, J33 * 0.20)</f>
        <v/>
      </c>
      <c r="I33" s="183">
        <f>IF(J33=0, 0, J33 * 0.10)</f>
        <v/>
      </c>
      <c r="J33" s="183">
        <f>IF(OR($B$21="", D33="", E33="", F33=""), 0, SUMIFS(INDEX(INDIRECT("'"&amp;$B$21&amp;"'!D:H"), 0, MATCH(F33, INDIRECT("'"&amp;$B$21&amp;"'!D1:H1"), 0)), INDIRECT("'"&amp;$B$21&amp;"'!A:A"), D33, INDIRECT("'"&amp;$B$21&amp;"'!C:C"), E33) * IF(G33="", 1, G33))</f>
        <v/>
      </c>
      <c r="K33" s="183">
        <f>IF(J33=0, 0, J33 * 0.40)</f>
        <v/>
      </c>
      <c r="L33" s="183">
        <f>IF(J33=0, 0, J33 * 0.15)</f>
        <v/>
      </c>
      <c r="M33" s="183">
        <f>IF(J33=0, 0, J33 * 0.15)</f>
        <v/>
      </c>
      <c r="N33" s="183" t="n"/>
      <c r="O33" s="183">
        <f>SUM(H33:M33)</f>
        <v/>
      </c>
    </row>
    <row r="34">
      <c r="B34" s="229" t="n"/>
      <c r="C34" s="182" t="n"/>
      <c r="D34" s="228" t="n"/>
      <c r="E34" s="220" t="n"/>
      <c r="F34" s="228" t="n"/>
      <c r="G34" s="228" t="n"/>
      <c r="H34" s="183">
        <f>IF(J34=0, 0, J34 * 0.20)</f>
        <v/>
      </c>
      <c r="I34" s="183">
        <f>IF(J34=0, 0, J34 * 0.10)</f>
        <v/>
      </c>
      <c r="J34" s="183">
        <f>IF(OR($B$21="", D34="", E34="", F34=""), 0, SUMIFS(INDEX(INDIRECT("'"&amp;$B$21&amp;"'!D:H"), 0, MATCH(F34, INDIRECT("'"&amp;$B$21&amp;"'!D1:H1"), 0)), INDIRECT("'"&amp;$B$21&amp;"'!A:A"), D34, INDIRECT("'"&amp;$B$21&amp;"'!C:C"), E34) * IF(G34="", 1, G34))</f>
        <v/>
      </c>
      <c r="K34" s="183">
        <f>IF(J34=0, 0, J34 * 0.40)</f>
        <v/>
      </c>
      <c r="L34" s="183">
        <f>IF(J34=0, 0, J34 * 0.15)</f>
        <v/>
      </c>
      <c r="M34" s="183">
        <f>IF(J34=0, 0, J34 * 0.15)</f>
        <v/>
      </c>
      <c r="N34" s="183" t="n"/>
      <c r="O34" s="183">
        <f>SUM(H34:M34)</f>
        <v/>
      </c>
    </row>
    <row r="35">
      <c r="B35" s="182" t="n"/>
      <c r="C35" s="182" t="n"/>
      <c r="D35" s="228" t="n"/>
      <c r="E35" s="220" t="n"/>
      <c r="F35" s="228" t="n"/>
      <c r="G35" s="228" t="n"/>
      <c r="H35" s="183">
        <f>IF(J35=0, 0, J35 * 0.20)</f>
        <v/>
      </c>
      <c r="I35" s="183">
        <f>IF(J35=0, 0, J35 * 0.10)</f>
        <v/>
      </c>
      <c r="J35" s="183">
        <f>IF(OR($B$21="", D35="", E35="", F35=""), 0, SUMIFS(INDEX(INDIRECT("'"&amp;$B$21&amp;"'!D:H"), 0, MATCH(F35, INDIRECT("'"&amp;$B$21&amp;"'!D1:H1"), 0)), INDIRECT("'"&amp;$B$21&amp;"'!A:A"), D35, INDIRECT("'"&amp;$B$21&amp;"'!C:C"), E35) * IF(G35="", 1, G35))</f>
        <v/>
      </c>
      <c r="K35" s="183">
        <f>IF(J35=0, 0, J35 * 0.40)</f>
        <v/>
      </c>
      <c r="L35" s="183">
        <f>IF(J35=0, 0, J35 * 0.15)</f>
        <v/>
      </c>
      <c r="M35" s="183">
        <f>IF(J35=0, 0, J35 * 0.15)</f>
        <v/>
      </c>
      <c r="N35" s="183" t="n"/>
      <c r="O35" s="183">
        <f>SUM(H35:M35)</f>
        <v/>
      </c>
    </row>
    <row r="36">
      <c r="B36" s="184" t="n"/>
      <c r="C36" s="182" t="n"/>
      <c r="D36" s="228" t="n"/>
      <c r="E36" s="220" t="n"/>
      <c r="F36" s="228" t="n"/>
      <c r="G36" s="228" t="n"/>
      <c r="H36" s="183">
        <f>IF(J36=0, 0, J36 * 0.20)</f>
        <v/>
      </c>
      <c r="I36" s="183">
        <f>IF(J36=0, 0, J36 * 0.10)</f>
        <v/>
      </c>
      <c r="J36" s="183">
        <f>IF(OR($B$21="", D36="", E36="", F36=""), 0, SUMIFS(INDEX(INDIRECT("'"&amp;$B$21&amp;"'!D:H"), 0, MATCH(F36, INDIRECT("'"&amp;$B$21&amp;"'!D1:H1"), 0)), INDIRECT("'"&amp;$B$21&amp;"'!A:A"), D36, INDIRECT("'"&amp;$B$21&amp;"'!C:C"), E36) * IF(G36="", 1, G36))</f>
        <v/>
      </c>
      <c r="K36" s="183">
        <f>IF(J36=0, 0, J36 * 0.40)</f>
        <v/>
      </c>
      <c r="L36" s="183">
        <f>IF(J36=0, 0, J36 * 0.15)</f>
        <v/>
      </c>
      <c r="M36" s="183">
        <f>IF(J36=0, 0, J36 * 0.15)</f>
        <v/>
      </c>
      <c r="N36" s="183" t="n"/>
      <c r="O36" s="183">
        <f>SUM(H36:M36)</f>
        <v/>
      </c>
    </row>
    <row r="37">
      <c r="B37" s="184" t="n"/>
      <c r="C37" s="182" t="n"/>
      <c r="D37" s="228" t="n"/>
      <c r="E37" s="220" t="n"/>
      <c r="F37" s="228" t="n"/>
      <c r="G37" s="228" t="n"/>
      <c r="H37" s="183">
        <f>IF(J37=0, 0, J37 * 0.20)</f>
        <v/>
      </c>
      <c r="I37" s="183">
        <f>IF(J37=0, 0, J37 * 0.10)</f>
        <v/>
      </c>
      <c r="J37" s="183">
        <f>IF(OR($B$21="", D37="", E37="", F37=""), 0, SUMIFS(INDEX(INDIRECT("'"&amp;$B$21&amp;"'!D:H"), 0, MATCH(F37, INDIRECT("'"&amp;$B$21&amp;"'!D1:H1"), 0)), INDIRECT("'"&amp;$B$21&amp;"'!A:A"), D37, INDIRECT("'"&amp;$B$21&amp;"'!C:C"), E37) * IF(G37="", 1, G37))</f>
        <v/>
      </c>
      <c r="K37" s="183">
        <f>IF(J37=0, 0, J37 * 0.40)</f>
        <v/>
      </c>
      <c r="L37" s="183">
        <f>IF(J37=0, 0, J37 * 0.15)</f>
        <v/>
      </c>
      <c r="M37" s="183">
        <f>IF(J37=0, 0, J37 * 0.15)</f>
        <v/>
      </c>
      <c r="N37" s="183" t="n"/>
      <c r="O37" s="183">
        <f>SUM(H37:M37)</f>
        <v/>
      </c>
    </row>
    <row r="38">
      <c r="B38" s="184" t="n"/>
      <c r="C38" s="182" t="n"/>
      <c r="D38" s="228" t="n"/>
      <c r="E38" s="220" t="n"/>
      <c r="F38" s="228" t="n"/>
      <c r="G38" s="228" t="n"/>
      <c r="H38" s="183">
        <f>IF(J38=0, 0, J38 * 0.20)</f>
        <v/>
      </c>
      <c r="I38" s="183">
        <f>IF(J38=0, 0, J38 * 0.10)</f>
        <v/>
      </c>
      <c r="J38" s="183">
        <f>IF(OR($B$21="", D38="", E38="", F38=""), 0, SUMIFS(INDEX(INDIRECT("'"&amp;$B$21&amp;"'!D:H"), 0, MATCH(F38, INDIRECT("'"&amp;$B$21&amp;"'!D1:H1"), 0)), INDIRECT("'"&amp;$B$21&amp;"'!A:A"), D38, INDIRECT("'"&amp;$B$21&amp;"'!C:C"), E38) * IF(G38="", 1, G38))</f>
        <v/>
      </c>
      <c r="K38" s="183">
        <f>IF(J38=0, 0, J38 * 0.40)</f>
        <v/>
      </c>
      <c r="L38" s="183">
        <f>IF(J38=0, 0, J38 * 0.15)</f>
        <v/>
      </c>
      <c r="M38" s="183">
        <f>IF(J38=0, 0, J38 * 0.15)</f>
        <v/>
      </c>
      <c r="N38" s="183" t="n"/>
      <c r="O38" s="183">
        <f>SUM(H38:M38)</f>
        <v/>
      </c>
    </row>
    <row r="39">
      <c r="B39" s="184" t="n"/>
      <c r="C39" s="182" t="n"/>
      <c r="D39" s="228" t="n"/>
      <c r="E39" s="220" t="n"/>
      <c r="F39" s="228" t="n"/>
      <c r="G39" s="228" t="n"/>
      <c r="H39" s="183">
        <f>IF(J39=0, 0, J39 * 0.20)</f>
        <v/>
      </c>
      <c r="I39" s="183">
        <f>IF(J39=0, 0, J39 * 0.10)</f>
        <v/>
      </c>
      <c r="J39" s="183">
        <f>IF(OR($B$21="", D39="", E39="", F39=""), 0, SUMIFS(INDEX(INDIRECT("'"&amp;$B$21&amp;"'!D:H"), 0, MATCH(F39, INDIRECT("'"&amp;$B$21&amp;"'!D1:H1"), 0)), INDIRECT("'"&amp;$B$21&amp;"'!A:A"), D39, INDIRECT("'"&amp;$B$21&amp;"'!C:C"), E39) * IF(G39="", 1, G39))</f>
        <v/>
      </c>
      <c r="K39" s="183">
        <f>IF(J39=0, 0, J39 * 0.40)</f>
        <v/>
      </c>
      <c r="L39" s="183">
        <f>IF(J39=0, 0, J39 * 0.15)</f>
        <v/>
      </c>
      <c r="M39" s="183">
        <f>IF(J39=0, 0, J39 * 0.15)</f>
        <v/>
      </c>
      <c r="N39" s="183" t="n"/>
      <c r="O39" s="183">
        <f>SUM(H39:M39)</f>
        <v/>
      </c>
    </row>
    <row r="40">
      <c r="B40" s="184" t="n"/>
      <c r="C40" s="182" t="n"/>
      <c r="D40" s="228" t="n"/>
      <c r="E40" s="220" t="n"/>
      <c r="F40" s="228" t="n"/>
      <c r="G40" s="228" t="n"/>
      <c r="H40" s="183">
        <f>IF(J40=0, 0, J40 * 0.20)</f>
        <v/>
      </c>
      <c r="I40" s="183">
        <f>IF(J40=0, 0, J40 * 0.10)</f>
        <v/>
      </c>
      <c r="J40" s="183">
        <f>IF(OR($B$21="", D40="", E40="", F40=""), 0, SUMIFS(INDEX(INDIRECT("'"&amp;$B$21&amp;"'!D:H"), 0, MATCH(F40, INDIRECT("'"&amp;$B$21&amp;"'!D1:H1"), 0)), INDIRECT("'"&amp;$B$21&amp;"'!A:A"), D40, INDIRECT("'"&amp;$B$21&amp;"'!C:C"), E40) * IF(G40="", 1, G40))</f>
        <v/>
      </c>
      <c r="K40" s="183">
        <f>IF(J40=0, 0, J40 * 0.40)</f>
        <v/>
      </c>
      <c r="L40" s="183">
        <f>IF(J40=0, 0, J40 * 0.15)</f>
        <v/>
      </c>
      <c r="M40" s="183">
        <f>IF(J40=0, 0, J40 * 0.15)</f>
        <v/>
      </c>
      <c r="N40" s="183" t="n"/>
      <c r="O40" s="183">
        <f>SUM(H40:M40)</f>
        <v/>
      </c>
    </row>
    <row r="41">
      <c r="B41" s="184" t="n"/>
      <c r="C41" s="182" t="n"/>
      <c r="D41" s="228" t="n"/>
      <c r="E41" s="220" t="n"/>
      <c r="F41" s="228" t="n"/>
      <c r="G41" s="228" t="n"/>
      <c r="H41" s="183">
        <f>IF(J41=0, 0, J41 * 0.20)</f>
        <v/>
      </c>
      <c r="I41" s="183">
        <f>IF(J41=0, 0, J41 * 0.10)</f>
        <v/>
      </c>
      <c r="J41" s="183">
        <f>IF(OR($B$21="", D41="", E41="", F41=""), 0, SUMIFS(INDEX(INDIRECT("'"&amp;$B$21&amp;"'!D:H"), 0, MATCH(F41, INDIRECT("'"&amp;$B$21&amp;"'!D1:H1"), 0)), INDIRECT("'"&amp;$B$21&amp;"'!A:A"), D41, INDIRECT("'"&amp;$B$21&amp;"'!C:C"), E41) * IF(G41="", 1, G41))</f>
        <v/>
      </c>
      <c r="K41" s="183">
        <f>IF(J41=0, 0, J41 * 0.40)</f>
        <v/>
      </c>
      <c r="L41" s="183">
        <f>IF(J41=0, 0, J41 * 0.15)</f>
        <v/>
      </c>
      <c r="M41" s="183">
        <f>IF(J41=0, 0, J41 * 0.15)</f>
        <v/>
      </c>
      <c r="N41" s="183" t="n"/>
      <c r="O41" s="183">
        <f>SUM(H41:M41)</f>
        <v/>
      </c>
    </row>
    <row r="42">
      <c r="B42" s="184" t="n"/>
      <c r="C42" s="182" t="n"/>
      <c r="D42" s="228" t="n"/>
      <c r="E42" s="220" t="n"/>
      <c r="F42" s="228" t="n"/>
      <c r="G42" s="228" t="n"/>
      <c r="H42" s="183">
        <f>IF(J42=0, 0, J42 * 0.20)</f>
        <v/>
      </c>
      <c r="I42" s="183">
        <f>IF(J42=0, 0, J42 * 0.10)</f>
        <v/>
      </c>
      <c r="J42" s="183">
        <f>IF(OR($B$21="", D42="", E42="", F42=""), 0, SUMIFS(INDEX(INDIRECT("'"&amp;$B$21&amp;"'!D:H"), 0, MATCH(F42, INDIRECT("'"&amp;$B$21&amp;"'!D1:H1"), 0)), INDIRECT("'"&amp;$B$21&amp;"'!A:A"), D42, INDIRECT("'"&amp;$B$21&amp;"'!C:C"), E42) * IF(G42="", 1, G42))</f>
        <v/>
      </c>
      <c r="K42" s="183">
        <f>IF(J42=0, 0, J42 * 0.40)</f>
        <v/>
      </c>
      <c r="L42" s="183">
        <f>IF(J42=0, 0, J42 * 0.15)</f>
        <v/>
      </c>
      <c r="M42" s="183">
        <f>IF(J42=0, 0, J42 * 0.15)</f>
        <v/>
      </c>
      <c r="N42" s="183" t="n"/>
      <c r="O42" s="183">
        <f>SUM(H42:M42)</f>
        <v/>
      </c>
    </row>
    <row r="43">
      <c r="B43" s="184" t="n"/>
      <c r="C43" s="182" t="n"/>
      <c r="D43" s="228" t="n"/>
      <c r="E43" s="220" t="n"/>
      <c r="F43" s="228" t="n"/>
      <c r="G43" s="228" t="n"/>
      <c r="H43" s="183">
        <f>IF(J43=0, 0, J43 * 0.20)</f>
        <v/>
      </c>
      <c r="I43" s="183">
        <f>IF(J43=0, 0, J43 * 0.10)</f>
        <v/>
      </c>
      <c r="J43" s="183">
        <f>IF(OR($B$21="", D43="", E43="", F43=""), 0, SUMIFS(INDEX(INDIRECT("'"&amp;$B$21&amp;"'!D:H"), 0, MATCH(F43, INDIRECT("'"&amp;$B$21&amp;"'!D1:H1"), 0)), INDIRECT("'"&amp;$B$21&amp;"'!A:A"), D43, INDIRECT("'"&amp;$B$21&amp;"'!C:C"), E43) * IF(G43="", 1, G43))</f>
        <v/>
      </c>
      <c r="K43" s="183">
        <f>IF(J43=0, 0, J43 * 0.40)</f>
        <v/>
      </c>
      <c r="L43" s="183">
        <f>IF(J43=0, 0, J43 * 0.15)</f>
        <v/>
      </c>
      <c r="M43" s="183">
        <f>IF(J43=0, 0, J43 * 0.15)</f>
        <v/>
      </c>
      <c r="N43" s="183" t="n"/>
      <c r="O43" s="183">
        <f>SUM(H43:M43)</f>
        <v/>
      </c>
    </row>
    <row r="44">
      <c r="B44" s="184" t="n"/>
      <c r="C44" s="182" t="n"/>
      <c r="D44" s="228" t="n"/>
      <c r="E44" s="220" t="n"/>
      <c r="F44" s="228" t="n"/>
      <c r="G44" s="228" t="n"/>
      <c r="H44" s="183">
        <f>IF(J44=0, 0, J44 * 0.20)</f>
        <v/>
      </c>
      <c r="I44" s="183">
        <f>IF(J44=0, 0, J44 * 0.10)</f>
        <v/>
      </c>
      <c r="J44" s="183">
        <f>IF(OR($B$21="", D44="", E44="", F44=""), 0, SUMIFS(INDEX(INDIRECT("'"&amp;$B$21&amp;"'!D:H"), 0, MATCH(F44, INDIRECT("'"&amp;$B$21&amp;"'!D1:H1"), 0)), INDIRECT("'"&amp;$B$21&amp;"'!A:A"), D44, INDIRECT("'"&amp;$B$21&amp;"'!C:C"), E44) * IF(G44="", 1, G44))</f>
        <v/>
      </c>
      <c r="K44" s="183">
        <f>IF(J44=0, 0, J44 * 0.40)</f>
        <v/>
      </c>
      <c r="L44" s="183">
        <f>IF(J44=0, 0, J44 * 0.15)</f>
        <v/>
      </c>
      <c r="M44" s="183">
        <f>IF(J44=0, 0, J44 * 0.15)</f>
        <v/>
      </c>
      <c r="N44" s="183" t="n"/>
      <c r="O44" s="183">
        <f>SUM(H44:M44)</f>
        <v/>
      </c>
    </row>
    <row r="45">
      <c r="B45" s="184" t="n"/>
      <c r="C45" s="182" t="n"/>
      <c r="D45" s="228" t="n"/>
      <c r="E45" s="220" t="n"/>
      <c r="F45" s="228" t="n"/>
      <c r="G45" s="228" t="n"/>
      <c r="H45" s="183">
        <f>IF(J45=0, 0, J45 * 0.20)</f>
        <v/>
      </c>
      <c r="I45" s="183">
        <f>IF(J45=0, 0, J45 * 0.10)</f>
        <v/>
      </c>
      <c r="J45" s="183">
        <f>IF(OR($B$21="", D45="", E45="", F45=""), 0, SUMIFS(INDEX(INDIRECT("'"&amp;$B$21&amp;"'!D:H"), 0, MATCH(F45, INDIRECT("'"&amp;$B$21&amp;"'!D1:H1"), 0)), INDIRECT("'"&amp;$B$21&amp;"'!A:A"), D45, INDIRECT("'"&amp;$B$21&amp;"'!C:C"), E45) * IF(G45="", 1, G45))</f>
        <v/>
      </c>
      <c r="K45" s="183">
        <f>IF(J45=0, 0, J45 * 0.40)</f>
        <v/>
      </c>
      <c r="L45" s="183">
        <f>IF(J45=0, 0, J45 * 0.15)</f>
        <v/>
      </c>
      <c r="M45" s="183">
        <f>IF(J45=0, 0, J45 * 0.15)</f>
        <v/>
      </c>
      <c r="N45" s="183" t="n"/>
      <c r="O45" s="183">
        <f>SUM(H45:M45)</f>
        <v/>
      </c>
    </row>
    <row r="46">
      <c r="B46" s="184" t="n"/>
      <c r="C46" s="182" t="n"/>
      <c r="D46" s="228" t="n"/>
      <c r="E46" s="220" t="n"/>
      <c r="F46" s="228" t="n"/>
      <c r="G46" s="228" t="n"/>
      <c r="H46" s="183">
        <f>IF(J46=0, 0, J46 * 0.20)</f>
        <v/>
      </c>
      <c r="I46" s="183">
        <f>IF(J46=0, 0, J46 * 0.10)</f>
        <v/>
      </c>
      <c r="J46" s="183">
        <f>IF(OR($B$21="", D46="", E46="", F46=""), 0, SUMIFS(INDEX(INDIRECT("'"&amp;$B$21&amp;"'!D:H"), 0, MATCH(F46, INDIRECT("'"&amp;$B$21&amp;"'!D1:H1"), 0)), INDIRECT("'"&amp;$B$21&amp;"'!A:A"), D46, INDIRECT("'"&amp;$B$21&amp;"'!C:C"), E46) * IF(G46="", 1, G46))</f>
        <v/>
      </c>
      <c r="K46" s="183">
        <f>IF(J46=0, 0, J46 * 0.40)</f>
        <v/>
      </c>
      <c r="L46" s="183">
        <f>IF(J46=0, 0, J46 * 0.15)</f>
        <v/>
      </c>
      <c r="M46" s="183">
        <f>IF(J46=0, 0, J46 * 0.15)</f>
        <v/>
      </c>
      <c r="N46" s="183" t="n"/>
      <c r="O46" s="183">
        <f>SUM(H46:M46)</f>
        <v/>
      </c>
    </row>
    <row r="47">
      <c r="B47" s="184" t="n"/>
      <c r="C47" s="182" t="n"/>
      <c r="D47" s="228" t="n"/>
      <c r="E47" s="220" t="n"/>
      <c r="F47" s="228" t="n"/>
      <c r="G47" s="228" t="n"/>
      <c r="H47" s="183">
        <f>IF(J47=0, 0, J47 * 0.20)</f>
        <v/>
      </c>
      <c r="I47" s="183">
        <f>IF(J47=0, 0, J47 * 0.10)</f>
        <v/>
      </c>
      <c r="J47" s="183">
        <f>IF(OR($B$21="", D47="", E47="", F47=""), 0, SUMIFS(INDEX(INDIRECT("'"&amp;$B$21&amp;"'!D:H"), 0, MATCH(F47, INDIRECT("'"&amp;$B$21&amp;"'!D1:H1"), 0)), INDIRECT("'"&amp;$B$21&amp;"'!A:A"), D47, INDIRECT("'"&amp;$B$21&amp;"'!C:C"), E47) * IF(G47="", 1, G47))</f>
        <v/>
      </c>
      <c r="K47" s="183">
        <f>IF(J47=0, 0, J47 * 0.40)</f>
        <v/>
      </c>
      <c r="L47" s="183">
        <f>IF(J47=0, 0, J47 * 0.15)</f>
        <v/>
      </c>
      <c r="M47" s="183">
        <f>IF(J47=0, 0, J47 * 0.15)</f>
        <v/>
      </c>
      <c r="N47" s="183" t="n"/>
      <c r="O47" s="183">
        <f>SUM(H47:M47)</f>
        <v/>
      </c>
    </row>
    <row r="48">
      <c r="H48">
        <f>IF(J48=0, 0, J48 * 0.20)</f>
        <v/>
      </c>
      <c r="I48">
        <f>IF(J48=0, 0, J48 * 0.10)</f>
        <v/>
      </c>
      <c r="J48">
        <f>IF(OR($B$21="", D48="", E48="", F48=""), 0, SUMIFS(INDEX(INDIRECT("'"&amp;$B$21&amp;"'!D:H"), 0, MATCH(F48, INDIRECT("'"&amp;$B$21&amp;"'!D1:H1"), 0)), INDIRECT("'"&amp;$B$21&amp;"'!A:A"), D48, INDIRECT("'"&amp;$B$21&amp;"'!C:C"), E48) * IF(G48="", 1, G48))</f>
        <v/>
      </c>
      <c r="K48">
        <f>IF(J48=0, 0, J48 * 0.40)</f>
        <v/>
      </c>
      <c r="L48">
        <f>IF(J48=0, 0, J48 * 0.15)</f>
        <v/>
      </c>
      <c r="M48">
        <f>IF(J48=0, 0, J48 * 0.15)</f>
        <v/>
      </c>
      <c r="O48">
        <f>SUM(H48:M48)</f>
        <v/>
      </c>
    </row>
    <row r="49" ht="7.9" customFormat="1" customHeight="1" s="185">
      <c r="G49" s="186" t="n"/>
      <c r="H49">
        <f>IF(J49=0, 0, J49 * 0.20)</f>
        <v/>
      </c>
      <c r="I49">
        <f>IF(J49=0, 0, J49 * 0.10)</f>
        <v/>
      </c>
      <c r="J49">
        <f>IF(OR($B$21="", D49="", E49="", F49=""), 0, SUMIFS(INDEX(INDIRECT("'"&amp;$B$21&amp;"'!D:H"), 0, MATCH(F49, INDIRECT("'"&amp;$B$21&amp;"'!D1:H1"), 0)), INDIRECT("'"&amp;$B$21&amp;"'!A:A"), D49, INDIRECT("'"&amp;$B$21&amp;"'!C:C"), E49) * IF(G49="", 1, G49))</f>
        <v/>
      </c>
      <c r="K49">
        <f>IF(J49=0, 0, J49 * 0.40)</f>
        <v/>
      </c>
      <c r="L49">
        <f>IF(J49=0, 0, J49 * 0.15)</f>
        <v/>
      </c>
      <c r="M49">
        <f>IF(J49=0, 0, J49 * 0.15)</f>
        <v/>
      </c>
      <c r="O49">
        <f>SUM(H49:M49)</f>
        <v/>
      </c>
    </row>
    <row r="50" ht="17.45" customHeight="1">
      <c r="A50" s="207" t="n"/>
      <c r="B50" s="208" t="inlineStr">
        <is>
          <t>Premissas</t>
        </is>
      </c>
      <c r="H50">
        <f>IF(J50=0, 0, J50 * 0.20)</f>
        <v/>
      </c>
      <c r="I50">
        <f>IF(J50=0, 0, J50 * 0.10)</f>
        <v/>
      </c>
      <c r="J50">
        <f>IF(OR($B$21="", D50="", E50="", F50=""), 0, SUMIFS(INDEX(INDIRECT("'"&amp;$B$21&amp;"'!D:H"), 0, MATCH(F50, INDIRECT("'"&amp;$B$21&amp;"'!D1:H1"), 0)), INDIRECT("'"&amp;$B$21&amp;"'!A:A"), D50, INDIRECT("'"&amp;$B$21&amp;"'!C:C"), E50) * IF(G50="", 1, G50))</f>
        <v/>
      </c>
      <c r="K50">
        <f>IF(J50=0, 0, J50 * 0.40)</f>
        <v/>
      </c>
      <c r="L50">
        <f>IF(J50=0, 0, J50 * 0.15)</f>
        <v/>
      </c>
      <c r="M50">
        <f>IF(J50=0, 0, J50 * 0.15)</f>
        <v/>
      </c>
      <c r="O50">
        <f>SUM(H50:M50)</f>
        <v/>
      </c>
    </row>
    <row r="51">
      <c r="H51">
        <f>IF(J51=0, 0, J51 * 0.20)</f>
        <v/>
      </c>
      <c r="I51">
        <f>IF(J51=0, 0, J51 * 0.10)</f>
        <v/>
      </c>
      <c r="J51">
        <f>IF(OR($B$21="", D51="", E51="", F51=""), 0, SUMIFS(INDEX(INDIRECT("'"&amp;$B$21&amp;"'!D:H"), 0, MATCH(F51, INDIRECT("'"&amp;$B$21&amp;"'!D1:H1"), 0)), INDIRECT("'"&amp;$B$21&amp;"'!A:A"), D51, INDIRECT("'"&amp;$B$21&amp;"'!C:C"), E51) * IF(G51="", 1, G51))</f>
        <v/>
      </c>
      <c r="K51">
        <f>IF(J51=0, 0, J51 * 0.40)</f>
        <v/>
      </c>
      <c r="L51">
        <f>IF(J51=0, 0, J51 * 0.15)</f>
        <v/>
      </c>
      <c r="M51">
        <f>IF(J51=0, 0, J51 * 0.15)</f>
        <v/>
      </c>
      <c r="O51">
        <f>SUM(H51:M51)</f>
        <v/>
      </c>
    </row>
    <row r="52" ht="14.45" customHeight="1">
      <c r="B52" s="265" t="inlineStr">
        <is>
          <t>1-</t>
        </is>
      </c>
      <c r="C52" s="376" t="n"/>
      <c r="D52" s="376" t="n"/>
      <c r="E52" s="376" t="n"/>
      <c r="F52" s="376" t="n"/>
      <c r="G52" s="376" t="n"/>
      <c r="H52" s="376" t="n"/>
      <c r="I52" s="376" t="n"/>
      <c r="J52" s="376" t="n"/>
      <c r="K52" s="376" t="n"/>
      <c r="L52" s="376" t="n"/>
      <c r="M52" s="377" t="n"/>
    </row>
    <row r="53" ht="14.45" customHeight="1">
      <c r="B53" s="265" t="inlineStr">
        <is>
          <t>2-</t>
        </is>
      </c>
      <c r="C53" s="376" t="n"/>
      <c r="D53" s="376" t="n"/>
      <c r="E53" s="376" t="n"/>
      <c r="F53" s="376" t="n"/>
      <c r="G53" s="376" t="n"/>
      <c r="H53" s="376" t="n"/>
      <c r="I53" s="376" t="n"/>
      <c r="J53" s="376" t="n"/>
      <c r="K53" s="376" t="n"/>
      <c r="L53" s="376" t="n"/>
      <c r="M53" s="377" t="n"/>
    </row>
    <row r="54" ht="14.45" customHeight="1">
      <c r="B54" s="265" t="inlineStr">
        <is>
          <t>3-</t>
        </is>
      </c>
      <c r="C54" s="376" t="n"/>
      <c r="D54" s="376" t="n"/>
      <c r="E54" s="376" t="n"/>
      <c r="F54" s="376" t="n"/>
      <c r="G54" s="376" t="n"/>
      <c r="H54" s="376" t="n"/>
      <c r="I54" s="376" t="n"/>
      <c r="J54" s="376" t="n"/>
      <c r="K54" s="376" t="n"/>
      <c r="L54" s="376" t="n"/>
      <c r="M54" s="377" t="n"/>
    </row>
    <row r="55" ht="14.45" customHeight="1">
      <c r="B55" s="265" t="inlineStr">
        <is>
          <t>4-</t>
        </is>
      </c>
      <c r="C55" s="376" t="n"/>
      <c r="D55" s="376" t="n"/>
      <c r="E55" s="376" t="n"/>
      <c r="F55" s="376" t="n"/>
      <c r="G55" s="376" t="n"/>
      <c r="H55" s="376" t="n"/>
      <c r="I55" s="376" t="n"/>
      <c r="J55" s="376" t="n"/>
      <c r="K55" s="376" t="n"/>
      <c r="L55" s="376" t="n"/>
      <c r="M55" s="377" t="n"/>
    </row>
    <row r="56" ht="14.45" customHeight="1">
      <c r="B56" s="265" t="inlineStr">
        <is>
          <t>5-</t>
        </is>
      </c>
      <c r="C56" s="376" t="n"/>
      <c r="D56" s="376" t="n"/>
      <c r="E56" s="376" t="n"/>
      <c r="F56" s="376" t="n"/>
      <c r="G56" s="376" t="n"/>
      <c r="H56" s="376" t="n"/>
      <c r="I56" s="376" t="n"/>
      <c r="J56" s="376" t="n"/>
      <c r="K56" s="376" t="n"/>
      <c r="L56" s="376" t="n"/>
      <c r="M56" s="377" t="n"/>
    </row>
    <row r="57">
      <c r="H57">
        <f>IF(J57=0, 0, J57 * 0.20)</f>
        <v/>
      </c>
      <c r="I57">
        <f>IF(J57=0, 0, J57 * 0.10)</f>
        <v/>
      </c>
      <c r="J57">
        <f>IF(OR($B$21="", D57="", E57="", F57=""), 0, SUMIFS(INDEX(INDIRECT("'"&amp;$B$21&amp;"'!D:H"), 0, MATCH(F57, INDIRECT("'"&amp;$B$21&amp;"'!D1:H1"), 0)), INDIRECT("'"&amp;$B$21&amp;"'!A:A"), D57, INDIRECT("'"&amp;$B$21&amp;"'!C:C"), E57) * IF(G57="", 1, G57))</f>
        <v/>
      </c>
      <c r="K57">
        <f>IF(J57=0, 0, J57 * 0.40)</f>
        <v/>
      </c>
      <c r="L57">
        <f>IF(J57=0, 0, J57 * 0.15)</f>
        <v/>
      </c>
      <c r="M57">
        <f>IF(J57=0, 0, J57 * 0.15)</f>
        <v/>
      </c>
      <c r="O57">
        <f>SUM(H57:M57)</f>
        <v/>
      </c>
    </row>
    <row r="58">
      <c r="H58">
        <f>IF(J58=0, 0, J58 * 0.20)</f>
        <v/>
      </c>
      <c r="I58">
        <f>IF(J58=0, 0, J58 * 0.10)</f>
        <v/>
      </c>
      <c r="J58">
        <f>IF(OR($B$21="", D58="", E58="", F58=""), 0, SUMIFS(INDEX(INDIRECT("'"&amp;$B$21&amp;"'!D:H"), 0, MATCH(F58, INDIRECT("'"&amp;$B$21&amp;"'!D1:H1"), 0)), INDIRECT("'"&amp;$B$21&amp;"'!A:A"), D58, INDIRECT("'"&amp;$B$21&amp;"'!C:C"), E58) * IF(G58="", 1, G58))</f>
        <v/>
      </c>
      <c r="K58">
        <f>IF(J58=0, 0, J58 * 0.40)</f>
        <v/>
      </c>
      <c r="L58">
        <f>IF(J58=0, 0, J58 * 0.15)</f>
        <v/>
      </c>
      <c r="M58">
        <f>IF(J58=0, 0, J58 * 0.15)</f>
        <v/>
      </c>
      <c r="O58">
        <f>SUM(H58:M58)</f>
        <v/>
      </c>
    </row>
    <row r="59">
      <c r="H59">
        <f>IF(J59=0, 0, J59 * 0.20)</f>
        <v/>
      </c>
      <c r="I59">
        <f>IF(J59=0, 0, J59 * 0.10)</f>
        <v/>
      </c>
      <c r="J59">
        <f>IF(OR($B$21="", D59="", E59="", F59=""), 0, SUMIFS(INDEX(INDIRECT("'"&amp;$B$21&amp;"'!D:H"), 0, MATCH(F59, INDIRECT("'"&amp;$B$21&amp;"'!D1:H1"), 0)), INDIRECT("'"&amp;$B$21&amp;"'!A:A"), D59, INDIRECT("'"&amp;$B$21&amp;"'!C:C"), E59) * IF(G59="", 1, G59))</f>
        <v/>
      </c>
      <c r="K59">
        <f>IF(J59=0, 0, J59 * 0.40)</f>
        <v/>
      </c>
      <c r="L59">
        <f>IF(J59=0, 0, J59 * 0.15)</f>
        <v/>
      </c>
      <c r="M59">
        <f>IF(J59=0, 0, J59 * 0.15)</f>
        <v/>
      </c>
      <c r="O59">
        <f>SUM(H59:M59)</f>
        <v/>
      </c>
    </row>
    <row r="60">
      <c r="H60">
        <f>IF(J60=0, 0, J60 * 0.20)</f>
        <v/>
      </c>
      <c r="I60">
        <f>IF(J60=0, 0, J60 * 0.10)</f>
        <v/>
      </c>
      <c r="J60">
        <f>IF(OR($B$21="", D60="", E60="", F60=""), 0, SUMIFS(INDEX(INDIRECT("'"&amp;$B$21&amp;"'!D:H"), 0, MATCH(F60, INDIRECT("'"&amp;$B$21&amp;"'!D1:H1"), 0)), INDIRECT("'"&amp;$B$21&amp;"'!A:A"), D60, INDIRECT("'"&amp;$B$21&amp;"'!C:C"), E60) * IF(G60="", 1, G60))</f>
        <v/>
      </c>
      <c r="K60">
        <f>IF(J60=0, 0, J60 * 0.40)</f>
        <v/>
      </c>
      <c r="L60">
        <f>IF(J60=0, 0, J60 * 0.15)</f>
        <v/>
      </c>
      <c r="M60">
        <f>IF(J60=0, 0, J60 * 0.15)</f>
        <v/>
      </c>
      <c r="O60">
        <f>SUM(H60:M60)</f>
        <v/>
      </c>
    </row>
    <row r="61">
      <c r="H61">
        <f>IF(J61=0, 0, J61 * 0.20)</f>
        <v/>
      </c>
      <c r="I61">
        <f>IF(J61=0, 0, J61 * 0.10)</f>
        <v/>
      </c>
      <c r="J61">
        <f>IF(OR($B$21="", D61="", E61="", F61=""), 0, SUMIFS(INDEX(INDIRECT("'"&amp;$B$21&amp;"'!D:H"), 0, MATCH(F61, INDIRECT("'"&amp;$B$21&amp;"'!D1:H1"), 0)), INDIRECT("'"&amp;$B$21&amp;"'!A:A"), D61, INDIRECT("'"&amp;$B$21&amp;"'!C:C"), E61) * IF(G61="", 1, G61))</f>
        <v/>
      </c>
      <c r="K61">
        <f>IF(J61=0, 0, J61 * 0.40)</f>
        <v/>
      </c>
      <c r="L61">
        <f>IF(J61=0, 0, J61 * 0.15)</f>
        <v/>
      </c>
      <c r="M61">
        <f>IF(J61=0, 0, J61 * 0.15)</f>
        <v/>
      </c>
      <c r="O61">
        <f>SUM(H61:M61)</f>
        <v/>
      </c>
    </row>
    <row r="62">
      <c r="H62">
        <f>IF(J62=0, 0, J62 * 0.20)</f>
        <v/>
      </c>
      <c r="I62">
        <f>IF(J62=0, 0, J62 * 0.10)</f>
        <v/>
      </c>
      <c r="J62">
        <f>IF(OR($B$21="", D62="", E62="", F62=""), 0, SUMIFS(INDEX(INDIRECT("'"&amp;$B$21&amp;"'!D:H"), 0, MATCH(F62, INDIRECT("'"&amp;$B$21&amp;"'!D1:H1"), 0)), INDIRECT("'"&amp;$B$21&amp;"'!A:A"), D62, INDIRECT("'"&amp;$B$21&amp;"'!C:C"), E62) * IF(G62="", 1, G62))</f>
        <v/>
      </c>
      <c r="K62">
        <f>IF(J62=0, 0, J62 * 0.40)</f>
        <v/>
      </c>
      <c r="L62">
        <f>IF(J62=0, 0, J62 * 0.15)</f>
        <v/>
      </c>
      <c r="M62">
        <f>IF(J62=0, 0, J62 * 0.15)</f>
        <v/>
      </c>
      <c r="O62">
        <f>SUM(H62:M62)</f>
        <v/>
      </c>
    </row>
    <row r="63">
      <c r="H63">
        <f>IF(J63=0, 0, J63 * 0.20)</f>
        <v/>
      </c>
      <c r="I63">
        <f>IF(J63=0, 0, J63 * 0.10)</f>
        <v/>
      </c>
      <c r="J63">
        <f>IF(OR($B$21="", D63="", E63="", F63=""), 0, SUMIFS(INDEX(INDIRECT("'"&amp;$B$21&amp;"'!D:H"), 0, MATCH(F63, INDIRECT("'"&amp;$B$21&amp;"'!D1:H1"), 0)), INDIRECT("'"&amp;$B$21&amp;"'!A:A"), D63, INDIRECT("'"&amp;$B$21&amp;"'!C:C"), E63) * IF(G63="", 1, G63))</f>
        <v/>
      </c>
      <c r="K63">
        <f>IF(J63=0, 0, J63 * 0.40)</f>
        <v/>
      </c>
      <c r="L63">
        <f>IF(J63=0, 0, J63 * 0.15)</f>
        <v/>
      </c>
      <c r="M63">
        <f>IF(J63=0, 0, J63 * 0.15)</f>
        <v/>
      </c>
      <c r="O63">
        <f>SUM(H63:M63)</f>
        <v/>
      </c>
    </row>
    <row r="64">
      <c r="H64">
        <f>IF(J64=0, 0, J64 * 0.20)</f>
        <v/>
      </c>
      <c r="I64">
        <f>IF(J64=0, 0, J64 * 0.10)</f>
        <v/>
      </c>
      <c r="J64">
        <f>IF(OR($B$21="", D64="", E64="", F64=""), 0, SUMIFS(INDEX(INDIRECT("'"&amp;$B$21&amp;"'!D:H"), 0, MATCH(F64, INDIRECT("'"&amp;$B$21&amp;"'!D1:H1"), 0)), INDIRECT("'"&amp;$B$21&amp;"'!A:A"), D64, INDIRECT("'"&amp;$B$21&amp;"'!C:C"), E64) * IF(G64="", 1, G64))</f>
        <v/>
      </c>
      <c r="K64">
        <f>IF(J64=0, 0, J64 * 0.40)</f>
        <v/>
      </c>
      <c r="L64">
        <f>IF(J64=0, 0, J64 * 0.15)</f>
        <v/>
      </c>
      <c r="M64">
        <f>IF(J64=0, 0, J64 * 0.15)</f>
        <v/>
      </c>
      <c r="O64">
        <f>SUM(H64:M64)</f>
        <v/>
      </c>
    </row>
    <row r="65">
      <c r="H65">
        <f>IF(J65=0, 0, J65 * 0.20)</f>
        <v/>
      </c>
      <c r="I65">
        <f>IF(J65=0, 0, J65 * 0.10)</f>
        <v/>
      </c>
      <c r="J65">
        <f>IF(OR($B$21="", D65="", E65="", F65=""), 0, SUMIFS(INDEX(INDIRECT("'"&amp;$B$21&amp;"'!D:H"), 0, MATCH(F65, INDIRECT("'"&amp;$B$21&amp;"'!D1:H1"), 0)), INDIRECT("'"&amp;$B$21&amp;"'!A:A"), D65, INDIRECT("'"&amp;$B$21&amp;"'!C:C"), E65) * IF(G65="", 1, G65))</f>
        <v/>
      </c>
      <c r="K65">
        <f>IF(J65=0, 0, J65 * 0.40)</f>
        <v/>
      </c>
      <c r="L65">
        <f>IF(J65=0, 0, J65 * 0.15)</f>
        <v/>
      </c>
      <c r="M65">
        <f>IF(J65=0, 0, J65 * 0.15)</f>
        <v/>
      </c>
      <c r="O65">
        <f>SUM(H65:M65)</f>
        <v/>
      </c>
    </row>
    <row r="66">
      <c r="H66">
        <f>IF(J66=0, 0, J66 * 0.20)</f>
        <v/>
      </c>
      <c r="I66">
        <f>IF(J66=0, 0, J66 * 0.10)</f>
        <v/>
      </c>
      <c r="J66">
        <f>IF(OR($B$21="", D66="", E66="", F66=""), 0, SUMIFS(INDEX(INDIRECT("'"&amp;$B$21&amp;"'!D:H"), 0, MATCH(F66, INDIRECT("'"&amp;$B$21&amp;"'!D1:H1"), 0)), INDIRECT("'"&amp;$B$21&amp;"'!A:A"), D66, INDIRECT("'"&amp;$B$21&amp;"'!C:C"), E66) * IF(G66="", 1, G66))</f>
        <v/>
      </c>
      <c r="K66">
        <f>IF(J66=0, 0, J66 * 0.40)</f>
        <v/>
      </c>
      <c r="L66">
        <f>IF(J66=0, 0, J66 * 0.15)</f>
        <v/>
      </c>
      <c r="M66">
        <f>IF(J66=0, 0, J66 * 0.15)</f>
        <v/>
      </c>
      <c r="O66">
        <f>SUM(H66:M66)</f>
        <v/>
      </c>
    </row>
    <row r="67">
      <c r="H67">
        <f>IF(J67=0, 0, J67 * 0.20)</f>
        <v/>
      </c>
      <c r="I67">
        <f>IF(J67=0, 0, J67 * 0.10)</f>
        <v/>
      </c>
      <c r="J67">
        <f>IF(OR($B$21="", D67="", E67="", F67=""), 0, SUMIFS(INDEX(INDIRECT("'"&amp;$B$21&amp;"'!D:H"), 0, MATCH(F67, INDIRECT("'"&amp;$B$21&amp;"'!D1:H1"), 0)), INDIRECT("'"&amp;$B$21&amp;"'!A:A"), D67, INDIRECT("'"&amp;$B$21&amp;"'!C:C"), E67) * IF(G67="", 1, G67))</f>
        <v/>
      </c>
      <c r="K67">
        <f>IF(J67=0, 0, J67 * 0.40)</f>
        <v/>
      </c>
      <c r="L67">
        <f>IF(J67=0, 0, J67 * 0.15)</f>
        <v/>
      </c>
      <c r="M67">
        <f>IF(J67=0, 0, J67 * 0.15)</f>
        <v/>
      </c>
      <c r="O67">
        <f>SUM(H67:M67)</f>
        <v/>
      </c>
    </row>
    <row r="68">
      <c r="H68">
        <f>IF(J68=0, 0, J68 * 0.20)</f>
        <v/>
      </c>
      <c r="I68">
        <f>IF(J68=0, 0, J68 * 0.10)</f>
        <v/>
      </c>
      <c r="J68">
        <f>IF(OR($B$21="", D68="", E68="", F68=""), 0, SUMIFS(INDEX(INDIRECT("'"&amp;$B$21&amp;"'!D:H"), 0, MATCH(F68, INDIRECT("'"&amp;$B$21&amp;"'!D1:H1"), 0)), INDIRECT("'"&amp;$B$21&amp;"'!A:A"), D68, INDIRECT("'"&amp;$B$21&amp;"'!C:C"), E68) * IF(G68="", 1, G68))</f>
        <v/>
      </c>
      <c r="K68">
        <f>IF(J68=0, 0, J68 * 0.40)</f>
        <v/>
      </c>
      <c r="L68">
        <f>IF(J68=0, 0, J68 * 0.15)</f>
        <v/>
      </c>
      <c r="M68">
        <f>IF(J68=0, 0, J68 * 0.15)</f>
        <v/>
      </c>
      <c r="O68">
        <f>SUM(H68:M68)</f>
        <v/>
      </c>
    </row>
    <row r="69">
      <c r="H69">
        <f>IF(J69=0, 0, J69 * 0.20)</f>
        <v/>
      </c>
      <c r="I69">
        <f>IF(J69=0, 0, J69 * 0.10)</f>
        <v/>
      </c>
      <c r="J69">
        <f>IF(OR($B$21="", D69="", E69="", F69=""), 0, SUMIFS(INDEX(INDIRECT("'"&amp;$B$21&amp;"'!D:H"), 0, MATCH(F69, INDIRECT("'"&amp;$B$21&amp;"'!D1:H1"), 0)), INDIRECT("'"&amp;$B$21&amp;"'!A:A"), D69, INDIRECT("'"&amp;$B$21&amp;"'!C:C"), E69) * IF(G69="", 1, G69))</f>
        <v/>
      </c>
      <c r="K69">
        <f>IF(J69=0, 0, J69 * 0.40)</f>
        <v/>
      </c>
      <c r="L69">
        <f>IF(J69=0, 0, J69 * 0.15)</f>
        <v/>
      </c>
      <c r="M69">
        <f>IF(J69=0, 0, J69 * 0.15)</f>
        <v/>
      </c>
      <c r="O69">
        <f>SUM(H69:M69)</f>
        <v/>
      </c>
    </row>
    <row r="70">
      <c r="H70">
        <f>IF(J70=0, 0, J70 * 0.20)</f>
        <v/>
      </c>
      <c r="I70">
        <f>IF(J70=0, 0, J70 * 0.10)</f>
        <v/>
      </c>
      <c r="J70">
        <f>IF(OR($B$21="", D70="", E70="", F70=""), 0, SUMIFS(INDEX(INDIRECT("'"&amp;$B$21&amp;"'!D:H"), 0, MATCH(F70, INDIRECT("'"&amp;$B$21&amp;"'!D1:H1"), 0)), INDIRECT("'"&amp;$B$21&amp;"'!A:A"), D70, INDIRECT("'"&amp;$B$21&amp;"'!C:C"), E70) * IF(G70="", 1, G70))</f>
        <v/>
      </c>
      <c r="K70">
        <f>IF(J70=0, 0, J70 * 0.40)</f>
        <v/>
      </c>
      <c r="L70">
        <f>IF(J70=0, 0, J70 * 0.15)</f>
        <v/>
      </c>
      <c r="M70">
        <f>IF(J70=0, 0, J70 * 0.15)</f>
        <v/>
      </c>
      <c r="O70">
        <f>SUM(H70:M70)</f>
        <v/>
      </c>
    </row>
    <row r="71">
      <c r="H71">
        <f>IF(J71=0, 0, J71 * 0.20)</f>
        <v/>
      </c>
      <c r="I71">
        <f>IF(J71=0, 0, J71 * 0.10)</f>
        <v/>
      </c>
      <c r="J71">
        <f>IF(OR($B$21="", D71="", E71="", F71=""), 0, SUMIFS(INDEX(INDIRECT("'"&amp;$B$21&amp;"'!D:H"), 0, MATCH(F71, INDIRECT("'"&amp;$B$21&amp;"'!D1:H1"), 0)), INDIRECT("'"&amp;$B$21&amp;"'!A:A"), D71, INDIRECT("'"&amp;$B$21&amp;"'!C:C"), E71) * IF(G71="", 1, G71))</f>
        <v/>
      </c>
      <c r="K71">
        <f>IF(J71=0, 0, J71 * 0.40)</f>
        <v/>
      </c>
      <c r="L71">
        <f>IF(J71=0, 0, J71 * 0.15)</f>
        <v/>
      </c>
      <c r="M71">
        <f>IF(J71=0, 0, J71 * 0.15)</f>
        <v/>
      </c>
      <c r="O71">
        <f>SUM(H71:M71)</f>
        <v/>
      </c>
    </row>
    <row r="72">
      <c r="H72">
        <f>IF(J72=0, 0, J72 * 0.20)</f>
        <v/>
      </c>
      <c r="I72">
        <f>IF(J72=0, 0, J72 * 0.10)</f>
        <v/>
      </c>
      <c r="J72">
        <f>IF(OR($B$21="", D72="", E72="", F72=""), 0, SUMIFS(INDEX(INDIRECT("'"&amp;$B$21&amp;"'!D:H"), 0, MATCH(F72, INDIRECT("'"&amp;$B$21&amp;"'!D1:H1"), 0)), INDIRECT("'"&amp;$B$21&amp;"'!A:A"), D72, INDIRECT("'"&amp;$B$21&amp;"'!C:C"), E72) * IF(G72="", 1, G72))</f>
        <v/>
      </c>
      <c r="K72">
        <f>IF(J72=0, 0, J72 * 0.40)</f>
        <v/>
      </c>
      <c r="L72">
        <f>IF(J72=0, 0, J72 * 0.15)</f>
        <v/>
      </c>
      <c r="M72">
        <f>IF(J72=0, 0, J72 * 0.15)</f>
        <v/>
      </c>
      <c r="O72">
        <f>SUM(H72:M72)</f>
        <v/>
      </c>
    </row>
    <row r="73">
      <c r="H73">
        <f>IF(J73=0, 0, J73 * 0.20)</f>
        <v/>
      </c>
      <c r="I73">
        <f>IF(J73=0, 0, J73 * 0.10)</f>
        <v/>
      </c>
      <c r="J73">
        <f>IF(OR($B$21="", D73="", E73="", F73=""), 0, SUMIFS(INDEX(INDIRECT("'"&amp;$B$21&amp;"'!D:H"), 0, MATCH(F73, INDIRECT("'"&amp;$B$21&amp;"'!D1:H1"), 0)), INDIRECT("'"&amp;$B$21&amp;"'!A:A"), D73, INDIRECT("'"&amp;$B$21&amp;"'!C:C"), E73) * IF(G73="", 1, G73))</f>
        <v/>
      </c>
      <c r="K73">
        <f>IF(J73=0, 0, J73 * 0.40)</f>
        <v/>
      </c>
      <c r="L73">
        <f>IF(J73=0, 0, J73 * 0.15)</f>
        <v/>
      </c>
      <c r="M73">
        <f>IF(J73=0, 0, J73 * 0.15)</f>
        <v/>
      </c>
      <c r="O73">
        <f>SUM(H73:M73)</f>
        <v/>
      </c>
    </row>
    <row r="74">
      <c r="H74">
        <f>IF(J74=0, 0, J74 * 0.20)</f>
        <v/>
      </c>
      <c r="I74">
        <f>IF(J74=0, 0, J74 * 0.10)</f>
        <v/>
      </c>
      <c r="J74">
        <f>IF(OR($B$21="", D74="", E74="", F74=""), 0, SUMIFS(INDEX(INDIRECT("'"&amp;$B$21&amp;"'!D:H"), 0, MATCH(F74, INDIRECT("'"&amp;$B$21&amp;"'!D1:H1"), 0)), INDIRECT("'"&amp;$B$21&amp;"'!A:A"), D74, INDIRECT("'"&amp;$B$21&amp;"'!C:C"), E74) * IF(G74="", 1, G74))</f>
        <v/>
      </c>
      <c r="K74">
        <f>IF(J74=0, 0, J74 * 0.40)</f>
        <v/>
      </c>
      <c r="L74">
        <f>IF(J74=0, 0, J74 * 0.15)</f>
        <v/>
      </c>
      <c r="M74">
        <f>IF(J74=0, 0, J74 * 0.15)</f>
        <v/>
      </c>
      <c r="O74">
        <f>SUM(H74:M74)</f>
        <v/>
      </c>
    </row>
    <row r="75">
      <c r="H75">
        <f>IF(J75=0, 0, J75 * 0.20)</f>
        <v/>
      </c>
      <c r="I75">
        <f>IF(J75=0, 0, J75 * 0.10)</f>
        <v/>
      </c>
      <c r="J75">
        <f>IF(OR($B$21="", D75="", E75="", F75=""), 0, SUMIFS(INDEX(INDIRECT("'"&amp;$B$21&amp;"'!D:H"), 0, MATCH(F75, INDIRECT("'"&amp;$B$21&amp;"'!D1:H1"), 0)), INDIRECT("'"&amp;$B$21&amp;"'!A:A"), D75, INDIRECT("'"&amp;$B$21&amp;"'!C:C"), E75) * IF(G75="", 1, G75))</f>
        <v/>
      </c>
      <c r="K75">
        <f>IF(J75=0, 0, J75 * 0.40)</f>
        <v/>
      </c>
      <c r="L75">
        <f>IF(J75=0, 0, J75 * 0.15)</f>
        <v/>
      </c>
      <c r="M75">
        <f>IF(J75=0, 0, J75 * 0.15)</f>
        <v/>
      </c>
      <c r="O75">
        <f>SUM(H75:M75)</f>
        <v/>
      </c>
    </row>
    <row r="76">
      <c r="H76">
        <f>IF(J76=0, 0, J76 * 0.20)</f>
        <v/>
      </c>
      <c r="I76">
        <f>IF(J76=0, 0, J76 * 0.10)</f>
        <v/>
      </c>
      <c r="J76">
        <f>IF(OR($B$21="", D76="", E76="", F76=""), 0, SUMIFS(INDEX(INDIRECT("'"&amp;$B$21&amp;"'!D:H"), 0, MATCH(F76, INDIRECT("'"&amp;$B$21&amp;"'!D1:H1"), 0)), INDIRECT("'"&amp;$B$21&amp;"'!A:A"), D76, INDIRECT("'"&amp;$B$21&amp;"'!C:C"), E76) * IF(G76="", 1, G76))</f>
        <v/>
      </c>
      <c r="K76">
        <f>IF(J76=0, 0, J76 * 0.40)</f>
        <v/>
      </c>
      <c r="L76">
        <f>IF(J76=0, 0, J76 * 0.15)</f>
        <v/>
      </c>
      <c r="M76">
        <f>IF(J76=0, 0, J76 * 0.15)</f>
        <v/>
      </c>
      <c r="O76">
        <f>SUM(H76:M76)</f>
        <v/>
      </c>
    </row>
    <row r="77">
      <c r="H77">
        <f>IF(J77=0, 0, J77 * 0.20)</f>
        <v/>
      </c>
      <c r="I77">
        <f>IF(J77=0, 0, J77 * 0.10)</f>
        <v/>
      </c>
      <c r="J77">
        <f>IF(OR($B$21="", D77="", E77="", F77=""), 0, SUMIFS(INDEX(INDIRECT("'"&amp;$B$21&amp;"'!D:H"), 0, MATCH(F77, INDIRECT("'"&amp;$B$21&amp;"'!D1:H1"), 0)), INDIRECT("'"&amp;$B$21&amp;"'!A:A"), D77, INDIRECT("'"&amp;$B$21&amp;"'!C:C"), E77) * IF(G77="", 1, G77))</f>
        <v/>
      </c>
      <c r="K77">
        <f>IF(J77=0, 0, J77 * 0.40)</f>
        <v/>
      </c>
      <c r="L77">
        <f>IF(J77=0, 0, J77 * 0.15)</f>
        <v/>
      </c>
      <c r="M77">
        <f>IF(J77=0, 0, J77 * 0.15)</f>
        <v/>
      </c>
      <c r="O77">
        <f>SUM(H77:M77)</f>
        <v/>
      </c>
    </row>
    <row r="78">
      <c r="H78">
        <f>IF(J78=0, 0, J78 * 0.20)</f>
        <v/>
      </c>
      <c r="I78">
        <f>IF(J78=0, 0, J78 * 0.10)</f>
        <v/>
      </c>
      <c r="J78">
        <f>IF(OR($B$21="", D78="", E78="", F78=""), 0, SUMIFS(INDEX(INDIRECT("'"&amp;$B$21&amp;"'!D:H"), 0, MATCH(F78, INDIRECT("'"&amp;$B$21&amp;"'!D1:H1"), 0)), INDIRECT("'"&amp;$B$21&amp;"'!A:A"), D78, INDIRECT("'"&amp;$B$21&amp;"'!C:C"), E78) * IF(G78="", 1, G78))</f>
        <v/>
      </c>
      <c r="K78">
        <f>IF(J78=0, 0, J78 * 0.40)</f>
        <v/>
      </c>
      <c r="L78">
        <f>IF(J78=0, 0, J78 * 0.15)</f>
        <v/>
      </c>
      <c r="M78">
        <f>IF(J78=0, 0, J78 * 0.15)</f>
        <v/>
      </c>
      <c r="O78">
        <f>SUM(H78:M78)</f>
        <v/>
      </c>
    </row>
    <row r="79">
      <c r="H79">
        <f>IF(J79=0, 0, J79 * 0.20)</f>
        <v/>
      </c>
      <c r="I79">
        <f>IF(J79=0, 0, J79 * 0.10)</f>
        <v/>
      </c>
      <c r="J79">
        <f>IF(OR($B$21="", D79="", E79="", F79=""), 0, SUMIFS(INDEX(INDIRECT("'"&amp;$B$21&amp;"'!D:H"), 0, MATCH(F79, INDIRECT("'"&amp;$B$21&amp;"'!D1:H1"), 0)), INDIRECT("'"&amp;$B$21&amp;"'!A:A"), D79, INDIRECT("'"&amp;$B$21&amp;"'!C:C"), E79) * IF(G79="", 1, G79))</f>
        <v/>
      </c>
      <c r="K79">
        <f>IF(J79=0, 0, J79 * 0.40)</f>
        <v/>
      </c>
      <c r="L79">
        <f>IF(J79=0, 0, J79 * 0.15)</f>
        <v/>
      </c>
      <c r="M79">
        <f>IF(J79=0, 0, J79 * 0.15)</f>
        <v/>
      </c>
      <c r="O79">
        <f>SUM(H79:M79)</f>
        <v/>
      </c>
    </row>
    <row r="80">
      <c r="H80">
        <f>IF(J80=0, 0, J80 * 0.20)</f>
        <v/>
      </c>
      <c r="I80">
        <f>IF(J80=0, 0, J80 * 0.10)</f>
        <v/>
      </c>
      <c r="J80">
        <f>IF(OR($B$21="", D80="", E80="", F80=""), 0, SUMIFS(INDEX(INDIRECT("'"&amp;$B$21&amp;"'!D:H"), 0, MATCH(F80, INDIRECT("'"&amp;$B$21&amp;"'!D1:H1"), 0)), INDIRECT("'"&amp;$B$21&amp;"'!A:A"), D80, INDIRECT("'"&amp;$B$21&amp;"'!C:C"), E80) * IF(G80="", 1, G80))</f>
        <v/>
      </c>
      <c r="K80">
        <f>IF(J80=0, 0, J80 * 0.40)</f>
        <v/>
      </c>
      <c r="L80">
        <f>IF(J80=0, 0, J80 * 0.15)</f>
        <v/>
      </c>
      <c r="M80">
        <f>IF(J80=0, 0, J80 * 0.15)</f>
        <v/>
      </c>
      <c r="O80">
        <f>SUM(H80:M80)</f>
        <v/>
      </c>
    </row>
    <row r="81">
      <c r="H81">
        <f>IF(J81=0, 0, J81 * 0.20)</f>
        <v/>
      </c>
      <c r="I81">
        <f>IF(J81=0, 0, J81 * 0.10)</f>
        <v/>
      </c>
      <c r="J81">
        <f>IF(OR($B$21="", D81="", E81="", F81=""), 0, SUMIFS(INDEX(INDIRECT("'"&amp;$B$21&amp;"'!D:H"), 0, MATCH(F81, INDIRECT("'"&amp;$B$21&amp;"'!D1:H1"), 0)), INDIRECT("'"&amp;$B$21&amp;"'!A:A"), D81, INDIRECT("'"&amp;$B$21&amp;"'!C:C"), E81) * IF(G81="", 1, G81))</f>
        <v/>
      </c>
      <c r="K81">
        <f>IF(J81=0, 0, J81 * 0.40)</f>
        <v/>
      </c>
      <c r="L81">
        <f>IF(J81=0, 0, J81 * 0.15)</f>
        <v/>
      </c>
      <c r="M81">
        <f>IF(J81=0, 0, J81 * 0.15)</f>
        <v/>
      </c>
      <c r="O81">
        <f>SUM(H81:M81)</f>
        <v/>
      </c>
    </row>
    <row r="82">
      <c r="H82">
        <f>IF(J82=0, 0, J82 * 0.20)</f>
        <v/>
      </c>
      <c r="I82">
        <f>IF(J82=0, 0, J82 * 0.10)</f>
        <v/>
      </c>
      <c r="J82">
        <f>IF(OR($B$21="", D82="", E82="", F82=""), 0, SUMIFS(INDEX(INDIRECT("'"&amp;$B$21&amp;"'!D:H"), 0, MATCH(F82, INDIRECT("'"&amp;$B$21&amp;"'!D1:H1"), 0)), INDIRECT("'"&amp;$B$21&amp;"'!A:A"), D82, INDIRECT("'"&amp;$B$21&amp;"'!C:C"), E82) * IF(G82="", 1, G82))</f>
        <v/>
      </c>
      <c r="K82">
        <f>IF(J82=0, 0, J82 * 0.40)</f>
        <v/>
      </c>
      <c r="L82">
        <f>IF(J82=0, 0, J82 * 0.15)</f>
        <v/>
      </c>
      <c r="M82">
        <f>IF(J82=0, 0, J82 * 0.15)</f>
        <v/>
      </c>
      <c r="O82">
        <f>SUM(H82:M82)</f>
        <v/>
      </c>
    </row>
    <row r="83">
      <c r="H83">
        <f>IF(J83=0, 0, J83 * 0.20)</f>
        <v/>
      </c>
      <c r="I83">
        <f>IF(J83=0, 0, J83 * 0.10)</f>
        <v/>
      </c>
      <c r="J83">
        <f>IF(OR($B$21="", D83="", E83="", F83=""), 0, SUMIFS(INDEX(INDIRECT("'"&amp;$B$21&amp;"'!D:H"), 0, MATCH(F83, INDIRECT("'"&amp;$B$21&amp;"'!D1:H1"), 0)), INDIRECT("'"&amp;$B$21&amp;"'!A:A"), D83, INDIRECT("'"&amp;$B$21&amp;"'!C:C"), E83) * IF(G83="", 1, G83))</f>
        <v/>
      </c>
      <c r="K83">
        <f>IF(J83=0, 0, J83 * 0.40)</f>
        <v/>
      </c>
      <c r="L83">
        <f>IF(J83=0, 0, J83 * 0.15)</f>
        <v/>
      </c>
      <c r="M83">
        <f>IF(J83=0, 0, J83 * 0.15)</f>
        <v/>
      </c>
      <c r="O83">
        <f>SUM(H83:M83)</f>
        <v/>
      </c>
    </row>
    <row r="84">
      <c r="H84">
        <f>IF(J84=0, 0, J84 * 0.20)</f>
        <v/>
      </c>
      <c r="I84">
        <f>IF(J84=0, 0, J84 * 0.10)</f>
        <v/>
      </c>
      <c r="J84">
        <f>IF(OR($B$21="", D84="", E84="", F84=""), 0, SUMIFS(INDEX(INDIRECT("'"&amp;$B$21&amp;"'!D:H"), 0, MATCH(F84, INDIRECT("'"&amp;$B$21&amp;"'!D1:H1"), 0)), INDIRECT("'"&amp;$B$21&amp;"'!A:A"), D84, INDIRECT("'"&amp;$B$21&amp;"'!C:C"), E84) * IF(G84="", 1, G84))</f>
        <v/>
      </c>
      <c r="K84">
        <f>IF(J84=0, 0, J84 * 0.40)</f>
        <v/>
      </c>
      <c r="L84">
        <f>IF(J84=0, 0, J84 * 0.15)</f>
        <v/>
      </c>
      <c r="M84">
        <f>IF(J84=0, 0, J84 * 0.15)</f>
        <v/>
      </c>
      <c r="O84">
        <f>SUM(H84:M84)</f>
        <v/>
      </c>
    </row>
    <row r="85">
      <c r="H85">
        <f>IF(J85=0, 0, J85 * 0.20)</f>
        <v/>
      </c>
      <c r="I85">
        <f>IF(J85=0, 0, J85 * 0.10)</f>
        <v/>
      </c>
      <c r="J85">
        <f>IF(OR($B$21="", D85="", E85="", F85=""), 0, SUMIFS(INDEX(INDIRECT("'"&amp;$B$21&amp;"'!D:H"), 0, MATCH(F85, INDIRECT("'"&amp;$B$21&amp;"'!D1:H1"), 0)), INDIRECT("'"&amp;$B$21&amp;"'!A:A"), D85, INDIRECT("'"&amp;$B$21&amp;"'!C:C"), E85) * IF(G85="", 1, G85))</f>
        <v/>
      </c>
      <c r="K85">
        <f>IF(J85=0, 0, J85 * 0.40)</f>
        <v/>
      </c>
      <c r="L85">
        <f>IF(J85=0, 0, J85 * 0.15)</f>
        <v/>
      </c>
      <c r="M85">
        <f>IF(J85=0, 0, J85 * 0.15)</f>
        <v/>
      </c>
      <c r="O85">
        <f>SUM(H85:M85)</f>
        <v/>
      </c>
    </row>
    <row r="86">
      <c r="H86">
        <f>IF(J86=0, 0, J86 * 0.20)</f>
        <v/>
      </c>
      <c r="I86">
        <f>IF(J86=0, 0, J86 * 0.10)</f>
        <v/>
      </c>
      <c r="J86">
        <f>IF(OR($B$21="", D86="", E86="", F86=""), 0, SUMIFS(INDEX(INDIRECT("'"&amp;$B$21&amp;"'!D:H"), 0, MATCH(F86, INDIRECT("'"&amp;$B$21&amp;"'!D1:H1"), 0)), INDIRECT("'"&amp;$B$21&amp;"'!A:A"), D86, INDIRECT("'"&amp;$B$21&amp;"'!C:C"), E86) * IF(G86="", 1, G86))</f>
        <v/>
      </c>
      <c r="K86">
        <f>IF(J86=0, 0, J86 * 0.40)</f>
        <v/>
      </c>
      <c r="L86">
        <f>IF(J86=0, 0, J86 * 0.15)</f>
        <v/>
      </c>
      <c r="M86">
        <f>IF(J86=0, 0, J86 * 0.15)</f>
        <v/>
      </c>
      <c r="O86">
        <f>SUM(H86:M86)</f>
        <v/>
      </c>
    </row>
    <row r="87">
      <c r="H87">
        <f>IF(J87=0, 0, J87 * 0.20)</f>
        <v/>
      </c>
      <c r="I87">
        <f>IF(J87=0, 0, J87 * 0.10)</f>
        <v/>
      </c>
      <c r="J87">
        <f>IF(OR($B$21="", D87="", E87="", F87=""), 0, SUMIFS(INDEX(INDIRECT("'"&amp;$B$21&amp;"'!D:H"), 0, MATCH(F87, INDIRECT("'"&amp;$B$21&amp;"'!D1:H1"), 0)), INDIRECT("'"&amp;$B$21&amp;"'!A:A"), D87, INDIRECT("'"&amp;$B$21&amp;"'!C:C"), E87) * IF(G87="", 1, G87))</f>
        <v/>
      </c>
      <c r="K87">
        <f>IF(J87=0, 0, J87 * 0.40)</f>
        <v/>
      </c>
      <c r="L87">
        <f>IF(J87=0, 0, J87 * 0.15)</f>
        <v/>
      </c>
      <c r="M87">
        <f>IF(J87=0, 0, J87 * 0.15)</f>
        <v/>
      </c>
      <c r="O87">
        <f>SUM(H87:M87)</f>
        <v/>
      </c>
    </row>
    <row r="88">
      <c r="H88">
        <f>IF(J88=0, 0, J88 * 0.20)</f>
        <v/>
      </c>
      <c r="I88">
        <f>IF(J88=0, 0, J88 * 0.10)</f>
        <v/>
      </c>
      <c r="J88">
        <f>IF(OR($B$21="", D88="", E88="", F88=""), 0, SUMIFS(INDEX(INDIRECT("'"&amp;$B$21&amp;"'!D:H"), 0, MATCH(F88, INDIRECT("'"&amp;$B$21&amp;"'!D1:H1"), 0)), INDIRECT("'"&amp;$B$21&amp;"'!A:A"), D88, INDIRECT("'"&amp;$B$21&amp;"'!C:C"), E88) * IF(G88="", 1, G88))</f>
        <v/>
      </c>
      <c r="K88">
        <f>IF(J88=0, 0, J88 * 0.40)</f>
        <v/>
      </c>
      <c r="L88">
        <f>IF(J88=0, 0, J88 * 0.15)</f>
        <v/>
      </c>
      <c r="M88">
        <f>IF(J88=0, 0, J88 * 0.15)</f>
        <v/>
      </c>
      <c r="O88">
        <f>SUM(H88:M88)</f>
        <v/>
      </c>
    </row>
    <row r="89">
      <c r="H89">
        <f>IF(J89=0, 0, J89 * 0.20)</f>
        <v/>
      </c>
      <c r="I89">
        <f>IF(J89=0, 0, J89 * 0.10)</f>
        <v/>
      </c>
      <c r="J89">
        <f>IF(OR($B$21="", D89="", E89="", F89=""), 0, SUMIFS(INDEX(INDIRECT("'"&amp;$B$21&amp;"'!D:H"), 0, MATCH(F89, INDIRECT("'"&amp;$B$21&amp;"'!D1:H1"), 0)), INDIRECT("'"&amp;$B$21&amp;"'!A:A"), D89, INDIRECT("'"&amp;$B$21&amp;"'!C:C"), E89) * IF(G89="", 1, G89))</f>
        <v/>
      </c>
      <c r="K89">
        <f>IF(J89=0, 0, J89 * 0.40)</f>
        <v/>
      </c>
      <c r="L89">
        <f>IF(J89=0, 0, J89 * 0.15)</f>
        <v/>
      </c>
      <c r="M89">
        <f>IF(J89=0, 0, J89 * 0.15)</f>
        <v/>
      </c>
      <c r="O89">
        <f>SUM(H89:M89)</f>
        <v/>
      </c>
    </row>
    <row r="90">
      <c r="H90">
        <f>IF(J90=0, 0, J90 * 0.20)</f>
        <v/>
      </c>
      <c r="I90">
        <f>IF(J90=0, 0, J90 * 0.10)</f>
        <v/>
      </c>
      <c r="J90">
        <f>IF(OR($B$21="", D90="", E90="", F90=""), 0, SUMIFS(INDEX(INDIRECT("'"&amp;$B$21&amp;"'!D:H"), 0, MATCH(F90, INDIRECT("'"&amp;$B$21&amp;"'!D1:H1"), 0)), INDIRECT("'"&amp;$B$21&amp;"'!A:A"), D90, INDIRECT("'"&amp;$B$21&amp;"'!C:C"), E90) * IF(G90="", 1, G90))</f>
        <v/>
      </c>
      <c r="K90">
        <f>IF(J90=0, 0, J90 * 0.40)</f>
        <v/>
      </c>
      <c r="L90">
        <f>IF(J90=0, 0, J90 * 0.15)</f>
        <v/>
      </c>
      <c r="M90">
        <f>IF(J90=0, 0, J90 * 0.15)</f>
        <v/>
      </c>
      <c r="O90">
        <f>SUM(H90:M90)</f>
        <v/>
      </c>
    </row>
    <row r="91">
      <c r="H91">
        <f>IF(J91=0, 0, J91 * 0.20)</f>
        <v/>
      </c>
      <c r="I91">
        <f>IF(J91=0, 0, J91 * 0.10)</f>
        <v/>
      </c>
      <c r="J91">
        <f>IF(OR($B$21="", D91="", E91="", F91=""), 0, SUMIFS(INDEX(INDIRECT("'"&amp;$B$21&amp;"'!D:H"), 0, MATCH(F91, INDIRECT("'"&amp;$B$21&amp;"'!D1:H1"), 0)), INDIRECT("'"&amp;$B$21&amp;"'!A:A"), D91, INDIRECT("'"&amp;$B$21&amp;"'!C:C"), E91) * IF(G91="", 1, G91))</f>
        <v/>
      </c>
      <c r="K91">
        <f>IF(J91=0, 0, J91 * 0.40)</f>
        <v/>
      </c>
      <c r="L91">
        <f>IF(J91=0, 0, J91 * 0.15)</f>
        <v/>
      </c>
      <c r="M91">
        <f>IF(J91=0, 0, J91 * 0.15)</f>
        <v/>
      </c>
      <c r="O91">
        <f>SUM(H91:M91)</f>
        <v/>
      </c>
    </row>
    <row r="92">
      <c r="H92">
        <f>IF(J92=0, 0, J92 * 0.20)</f>
        <v/>
      </c>
      <c r="I92">
        <f>IF(J92=0, 0, J92 * 0.10)</f>
        <v/>
      </c>
      <c r="J92">
        <f>IF(OR($B$21="", D92="", E92="", F92=""), 0, SUMIFS(INDEX(INDIRECT("'"&amp;$B$21&amp;"'!D:H"), 0, MATCH(F92, INDIRECT("'"&amp;$B$21&amp;"'!D1:H1"), 0)), INDIRECT("'"&amp;$B$21&amp;"'!A:A"), D92, INDIRECT("'"&amp;$B$21&amp;"'!C:C"), E92) * IF(G92="", 1, G92))</f>
        <v/>
      </c>
      <c r="K92">
        <f>IF(J92=0, 0, J92 * 0.40)</f>
        <v/>
      </c>
      <c r="L92">
        <f>IF(J92=0, 0, J92 * 0.15)</f>
        <v/>
      </c>
      <c r="M92">
        <f>IF(J92=0, 0, J92 * 0.15)</f>
        <v/>
      </c>
      <c r="O92">
        <f>SUM(H92:M92)</f>
        <v/>
      </c>
    </row>
    <row r="93">
      <c r="H93">
        <f>IF(J93=0, 0, J93 * 0.20)</f>
        <v/>
      </c>
      <c r="I93">
        <f>IF(J93=0, 0, J93 * 0.10)</f>
        <v/>
      </c>
      <c r="J93">
        <f>IF(OR($B$21="", D93="", E93="", F93=""), 0, SUMIFS(INDEX(INDIRECT("'"&amp;$B$21&amp;"'!D:H"), 0, MATCH(F93, INDIRECT("'"&amp;$B$21&amp;"'!D1:H1"), 0)), INDIRECT("'"&amp;$B$21&amp;"'!A:A"), D93, INDIRECT("'"&amp;$B$21&amp;"'!C:C"), E93) * IF(G93="", 1, G93))</f>
        <v/>
      </c>
      <c r="K93">
        <f>IF(J93=0, 0, J93 * 0.40)</f>
        <v/>
      </c>
      <c r="L93">
        <f>IF(J93=0, 0, J93 * 0.15)</f>
        <v/>
      </c>
      <c r="M93">
        <f>IF(J93=0, 0, J93 * 0.15)</f>
        <v/>
      </c>
      <c r="O93">
        <f>SUM(H93:M93)</f>
        <v/>
      </c>
    </row>
    <row r="94">
      <c r="H94">
        <f>IF(J94=0, 0, J94 * 0.20)</f>
        <v/>
      </c>
      <c r="I94">
        <f>IF(J94=0, 0, J94 * 0.10)</f>
        <v/>
      </c>
      <c r="J94">
        <f>IF(OR($B$21="", D94="", E94="", F94=""), 0, SUMIFS(INDEX(INDIRECT("'"&amp;$B$21&amp;"'!D:H"), 0, MATCH(F94, INDIRECT("'"&amp;$B$21&amp;"'!D1:H1"), 0)), INDIRECT("'"&amp;$B$21&amp;"'!A:A"), D94, INDIRECT("'"&amp;$B$21&amp;"'!C:C"), E94) * IF(G94="", 1, G94))</f>
        <v/>
      </c>
      <c r="K94">
        <f>IF(J94=0, 0, J94 * 0.40)</f>
        <v/>
      </c>
      <c r="L94">
        <f>IF(J94=0, 0, J94 * 0.15)</f>
        <v/>
      </c>
      <c r="M94">
        <f>IF(J94=0, 0, J94 * 0.15)</f>
        <v/>
      </c>
      <c r="O94">
        <f>SUM(H94:M94)</f>
        <v/>
      </c>
    </row>
    <row r="95">
      <c r="H95">
        <f>IF(J95=0, 0, J95 * 0.20)</f>
        <v/>
      </c>
      <c r="I95">
        <f>IF(J95=0, 0, J95 * 0.10)</f>
        <v/>
      </c>
      <c r="J95">
        <f>IF(OR($B$21="", D95="", E95="", F95=""), 0, SUMIFS(INDEX(INDIRECT("'"&amp;$B$21&amp;"'!D:H"), 0, MATCH(F95, INDIRECT("'"&amp;$B$21&amp;"'!D1:H1"), 0)), INDIRECT("'"&amp;$B$21&amp;"'!A:A"), D95, INDIRECT("'"&amp;$B$21&amp;"'!C:C"), E95) * IF(G95="", 1, G95))</f>
        <v/>
      </c>
      <c r="K95">
        <f>IF(J95=0, 0, J95 * 0.40)</f>
        <v/>
      </c>
      <c r="L95">
        <f>IF(J95=0, 0, J95 * 0.15)</f>
        <v/>
      </c>
      <c r="M95">
        <f>IF(J95=0, 0, J95 * 0.15)</f>
        <v/>
      </c>
      <c r="O95">
        <f>SUM(H95:M95)</f>
        <v/>
      </c>
    </row>
    <row r="96">
      <c r="H96">
        <f>IF(J96=0, 0, J96 * 0.20)</f>
        <v/>
      </c>
      <c r="I96">
        <f>IF(J96=0, 0, J96 * 0.10)</f>
        <v/>
      </c>
      <c r="J96">
        <f>IF(OR($B$21="", D96="", E96="", F96=""), 0, SUMIFS(INDEX(INDIRECT("'"&amp;$B$21&amp;"'!D:H"), 0, MATCH(F96, INDIRECT("'"&amp;$B$21&amp;"'!D1:H1"), 0)), INDIRECT("'"&amp;$B$21&amp;"'!A:A"), D96, INDIRECT("'"&amp;$B$21&amp;"'!C:C"), E96) * IF(G96="", 1, G96))</f>
        <v/>
      </c>
      <c r="K96">
        <f>IF(J96=0, 0, J96 * 0.40)</f>
        <v/>
      </c>
      <c r="L96">
        <f>IF(J96=0, 0, J96 * 0.15)</f>
        <v/>
      </c>
      <c r="M96">
        <f>IF(J96=0, 0, J96 * 0.15)</f>
        <v/>
      </c>
      <c r="O96">
        <f>SUM(H96:M96)</f>
        <v/>
      </c>
    </row>
    <row r="97">
      <c r="H97">
        <f>IF(J97=0, 0, J97 * 0.20)</f>
        <v/>
      </c>
      <c r="I97">
        <f>IF(J97=0, 0, J97 * 0.10)</f>
        <v/>
      </c>
      <c r="J97">
        <f>IF(OR($B$21="", D97="", E97="", F97=""), 0, SUMIFS(INDEX(INDIRECT("'"&amp;$B$21&amp;"'!D:H"), 0, MATCH(F97, INDIRECT("'"&amp;$B$21&amp;"'!D1:H1"), 0)), INDIRECT("'"&amp;$B$21&amp;"'!A:A"), D97, INDIRECT("'"&amp;$B$21&amp;"'!C:C"), E97) * IF(G97="", 1, G97))</f>
        <v/>
      </c>
      <c r="K97">
        <f>IF(J97=0, 0, J97 * 0.40)</f>
        <v/>
      </c>
      <c r="L97">
        <f>IF(J97=0, 0, J97 * 0.15)</f>
        <v/>
      </c>
      <c r="M97">
        <f>IF(J97=0, 0, J97 * 0.15)</f>
        <v/>
      </c>
      <c r="O97">
        <f>SUM(H97:M97)</f>
        <v/>
      </c>
    </row>
    <row r="98">
      <c r="H98">
        <f>IF(J98=0, 0, J98 * 0.20)</f>
        <v/>
      </c>
      <c r="I98">
        <f>IF(J98=0, 0, J98 * 0.10)</f>
        <v/>
      </c>
      <c r="J98">
        <f>IF(OR($B$21="", D98="", E98="", F98=""), 0, SUMIFS(INDEX(INDIRECT("'"&amp;$B$21&amp;"'!D:H"), 0, MATCH(F98, INDIRECT("'"&amp;$B$21&amp;"'!D1:H1"), 0)), INDIRECT("'"&amp;$B$21&amp;"'!A:A"), D98, INDIRECT("'"&amp;$B$21&amp;"'!C:C"), E98) * IF(G98="", 1, G98))</f>
        <v/>
      </c>
      <c r="K98">
        <f>IF(J98=0, 0, J98 * 0.40)</f>
        <v/>
      </c>
      <c r="L98">
        <f>IF(J98=0, 0, J98 * 0.15)</f>
        <v/>
      </c>
      <c r="M98">
        <f>IF(J98=0, 0, J98 * 0.15)</f>
        <v/>
      </c>
      <c r="O98">
        <f>SUM(H98:M98)</f>
        <v/>
      </c>
    </row>
    <row r="99">
      <c r="H99">
        <f>IF(J99=0, 0, J99 * 0.20)</f>
        <v/>
      </c>
      <c r="I99">
        <f>IF(J99=0, 0, J99 * 0.10)</f>
        <v/>
      </c>
      <c r="J99">
        <f>IF(OR($B$21="", D99="", E99="", F99=""), 0, SUMIFS(INDEX(INDIRECT("'"&amp;$B$21&amp;"'!D:H"), 0, MATCH(F99, INDIRECT("'"&amp;$B$21&amp;"'!D1:H1"), 0)), INDIRECT("'"&amp;$B$21&amp;"'!A:A"), D99, INDIRECT("'"&amp;$B$21&amp;"'!C:C"), E99) * IF(G99="", 1, G99))</f>
        <v/>
      </c>
      <c r="K99">
        <f>IF(J99=0, 0, J99 * 0.40)</f>
        <v/>
      </c>
      <c r="L99">
        <f>IF(J99=0, 0, J99 * 0.15)</f>
        <v/>
      </c>
      <c r="M99">
        <f>IF(J99=0, 0, J99 * 0.15)</f>
        <v/>
      </c>
      <c r="O99">
        <f>SUM(H99:M99)</f>
        <v/>
      </c>
    </row>
    <row r="100">
      <c r="H100">
        <f>IF(J100=0, 0, J100 * 0.20)</f>
        <v/>
      </c>
      <c r="I100">
        <f>IF(J100=0, 0, J100 * 0.10)</f>
        <v/>
      </c>
      <c r="J100">
        <f>IF(OR($B$21="", D100="", E100="", F100=""), 0, SUMIFS(INDEX(INDIRECT("'"&amp;$B$21&amp;"'!D:H"), 0, MATCH(F100, INDIRECT("'"&amp;$B$21&amp;"'!D1:H1"), 0)), INDIRECT("'"&amp;$B$21&amp;"'!A:A"), D100, INDIRECT("'"&amp;$B$21&amp;"'!C:C"), E100) * IF(G100="", 1, G100))</f>
        <v/>
      </c>
      <c r="K100">
        <f>IF(J100=0, 0, J100 * 0.40)</f>
        <v/>
      </c>
      <c r="L100">
        <f>IF(J100=0, 0, J100 * 0.15)</f>
        <v/>
      </c>
      <c r="M100">
        <f>IF(J100=0, 0, J100 * 0.15)</f>
        <v/>
      </c>
      <c r="O100">
        <f>SUM(H100:M100)</f>
        <v/>
      </c>
    </row>
    <row r="101">
      <c r="H101">
        <f>IF(J101=0, 0, J101 * 0.20)</f>
        <v/>
      </c>
      <c r="I101">
        <f>IF(J101=0, 0, J101 * 0.10)</f>
        <v/>
      </c>
      <c r="J101">
        <f>IF(OR($B$21="", D101="", E101="", F101=""), 0, SUMIFS(INDEX(INDIRECT("'"&amp;$B$21&amp;"'!D:H"), 0, MATCH(F101, INDIRECT("'"&amp;$B$21&amp;"'!D1:H1"), 0)), INDIRECT("'"&amp;$B$21&amp;"'!A:A"), D101, INDIRECT("'"&amp;$B$21&amp;"'!C:C"), E101) * IF(G101="", 1, G101))</f>
        <v/>
      </c>
      <c r="K101">
        <f>IF(J101=0, 0, J101 * 0.40)</f>
        <v/>
      </c>
      <c r="L101">
        <f>IF(J101=0, 0, J101 * 0.15)</f>
        <v/>
      </c>
      <c r="M101">
        <f>IF(J101=0, 0, J101 * 0.15)</f>
        <v/>
      </c>
      <c r="O101">
        <f>SUM(H101:M101)</f>
        <v/>
      </c>
    </row>
    <row r="102">
      <c r="H102">
        <f>IF(J102=0, 0, J102 * 0.20)</f>
        <v/>
      </c>
      <c r="I102">
        <f>IF(J102=0, 0, J102 * 0.10)</f>
        <v/>
      </c>
      <c r="J102">
        <f>IF(OR($B$21="", D102="", E102="", F102=""), 0, SUMIFS(INDEX(INDIRECT("'"&amp;$B$21&amp;"'!D:H"), 0, MATCH(F102, INDIRECT("'"&amp;$B$21&amp;"'!D1:H1"), 0)), INDIRECT("'"&amp;$B$21&amp;"'!A:A"), D102, INDIRECT("'"&amp;$B$21&amp;"'!C:C"), E102) * IF(G102="", 1, G102))</f>
        <v/>
      </c>
      <c r="K102">
        <f>IF(J102=0, 0, J102 * 0.40)</f>
        <v/>
      </c>
      <c r="L102">
        <f>IF(J102=0, 0, J102 * 0.15)</f>
        <v/>
      </c>
      <c r="M102">
        <f>IF(J102=0, 0, J102 * 0.15)</f>
        <v/>
      </c>
      <c r="O102">
        <f>SUM(H102:M102)</f>
        <v/>
      </c>
    </row>
    <row r="103">
      <c r="H103">
        <f>IF(J103=0, 0, J103 * 0.20)</f>
        <v/>
      </c>
      <c r="I103">
        <f>IF(J103=0, 0, J103 * 0.10)</f>
        <v/>
      </c>
      <c r="J103">
        <f>IF(OR($B$21="", D103="", E103="", F103=""), 0, SUMIFS(INDEX(INDIRECT("'"&amp;$B$21&amp;"'!D:H"), 0, MATCH(F103, INDIRECT("'"&amp;$B$21&amp;"'!D1:H1"), 0)), INDIRECT("'"&amp;$B$21&amp;"'!A:A"), D103, INDIRECT("'"&amp;$B$21&amp;"'!C:C"), E103) * IF(G103="", 1, G103))</f>
        <v/>
      </c>
      <c r="K103">
        <f>IF(J103=0, 0, J103 * 0.40)</f>
        <v/>
      </c>
      <c r="L103">
        <f>IF(J103=0, 0, J103 * 0.15)</f>
        <v/>
      </c>
      <c r="M103">
        <f>IF(J103=0, 0, J103 * 0.15)</f>
        <v/>
      </c>
      <c r="O103">
        <f>SUM(H103:M103)</f>
        <v/>
      </c>
    </row>
    <row r="104">
      <c r="H104">
        <f>IF(J104=0, 0, J104 * 0.20)</f>
        <v/>
      </c>
      <c r="I104">
        <f>IF(J104=0, 0, J104 * 0.10)</f>
        <v/>
      </c>
      <c r="J104">
        <f>IF(OR($B$21="", D104="", E104="", F104=""), 0, SUMIFS(INDEX(INDIRECT("'"&amp;$B$21&amp;"'!D:H"), 0, MATCH(F104, INDIRECT("'"&amp;$B$21&amp;"'!D1:H1"), 0)), INDIRECT("'"&amp;$B$21&amp;"'!A:A"), D104, INDIRECT("'"&amp;$B$21&amp;"'!C:C"), E104) * IF(G104="", 1, G104))</f>
        <v/>
      </c>
      <c r="K104">
        <f>IF(J104=0, 0, J104 * 0.40)</f>
        <v/>
      </c>
      <c r="L104">
        <f>IF(J104=0, 0, J104 * 0.15)</f>
        <v/>
      </c>
      <c r="M104">
        <f>IF(J104=0, 0, J104 * 0.15)</f>
        <v/>
      </c>
      <c r="O104">
        <f>SUM(H104:M104)</f>
        <v/>
      </c>
    </row>
    <row r="105">
      <c r="H105">
        <f>IF(J105=0, 0, J105 * 0.20)</f>
        <v/>
      </c>
      <c r="I105">
        <f>IF(J105=0, 0, J105 * 0.10)</f>
        <v/>
      </c>
      <c r="J105">
        <f>IF(OR($B$21="", D105="", E105="", F105=""), 0, SUMIFS(INDEX(INDIRECT("'"&amp;$B$21&amp;"'!D:H"), 0, MATCH(F105, INDIRECT("'"&amp;$B$21&amp;"'!D1:H1"), 0)), INDIRECT("'"&amp;$B$21&amp;"'!A:A"), D105, INDIRECT("'"&amp;$B$21&amp;"'!C:C"), E105) * IF(G105="", 1, G105))</f>
        <v/>
      </c>
      <c r="K105">
        <f>IF(J105=0, 0, J105 * 0.40)</f>
        <v/>
      </c>
      <c r="L105">
        <f>IF(J105=0, 0, J105 * 0.15)</f>
        <v/>
      </c>
      <c r="M105">
        <f>IF(J105=0, 0, J105 * 0.15)</f>
        <v/>
      </c>
      <c r="O105">
        <f>SUM(H105:M105)</f>
        <v/>
      </c>
    </row>
    <row r="106">
      <c r="H106">
        <f>IF(J106=0, 0, J106 * 0.20)</f>
        <v/>
      </c>
      <c r="I106">
        <f>IF(J106=0, 0, J106 * 0.10)</f>
        <v/>
      </c>
      <c r="J106">
        <f>IF(OR($B$21="", D106="", E106="", F106=""), 0, SUMIFS(INDEX(INDIRECT("'"&amp;$B$21&amp;"'!D:H"), 0, MATCH(F106, INDIRECT("'"&amp;$B$21&amp;"'!D1:H1"), 0)), INDIRECT("'"&amp;$B$21&amp;"'!A:A"), D106, INDIRECT("'"&amp;$B$21&amp;"'!C:C"), E106) * IF(G106="", 1, G106))</f>
        <v/>
      </c>
      <c r="K106">
        <f>IF(J106=0, 0, J106 * 0.40)</f>
        <v/>
      </c>
      <c r="L106">
        <f>IF(J106=0, 0, J106 * 0.15)</f>
        <v/>
      </c>
      <c r="M106">
        <f>IF(J106=0, 0, J106 * 0.15)</f>
        <v/>
      </c>
      <c r="O106">
        <f>SUM(H106:M106)</f>
        <v/>
      </c>
    </row>
    <row r="107">
      <c r="H107">
        <f>IF(J107=0, 0, J107 * 0.20)</f>
        <v/>
      </c>
      <c r="I107">
        <f>IF(J107=0, 0, J107 * 0.10)</f>
        <v/>
      </c>
      <c r="J107">
        <f>IF(OR($B$21="", D107="", E107="", F107=""), 0, SUMIFS(INDEX(INDIRECT("'"&amp;$B$21&amp;"'!D:H"), 0, MATCH(F107, INDIRECT("'"&amp;$B$21&amp;"'!D1:H1"), 0)), INDIRECT("'"&amp;$B$21&amp;"'!A:A"), D107, INDIRECT("'"&amp;$B$21&amp;"'!C:C"), E107) * IF(G107="", 1, G107))</f>
        <v/>
      </c>
      <c r="K107">
        <f>IF(J107=0, 0, J107 * 0.40)</f>
        <v/>
      </c>
      <c r="L107">
        <f>IF(J107=0, 0, J107 * 0.15)</f>
        <v/>
      </c>
      <c r="M107">
        <f>IF(J107=0, 0, J107 * 0.15)</f>
        <v/>
      </c>
      <c r="O107">
        <f>SUM(H107:M107)</f>
        <v/>
      </c>
    </row>
    <row r="108">
      <c r="H108">
        <f>IF(J108=0, 0, J108 * 0.20)</f>
        <v/>
      </c>
      <c r="I108">
        <f>IF(J108=0, 0, J108 * 0.10)</f>
        <v/>
      </c>
      <c r="J108">
        <f>IF(OR($B$21="", D108="", E108="", F108=""), 0, SUMIFS(INDEX(INDIRECT("'"&amp;$B$21&amp;"'!D:H"), 0, MATCH(F108, INDIRECT("'"&amp;$B$21&amp;"'!D1:H1"), 0)), INDIRECT("'"&amp;$B$21&amp;"'!A:A"), D108, INDIRECT("'"&amp;$B$21&amp;"'!C:C"), E108) * IF(G108="", 1, G108))</f>
        <v/>
      </c>
      <c r="K108">
        <f>IF(J108=0, 0, J108 * 0.40)</f>
        <v/>
      </c>
      <c r="L108">
        <f>IF(J108=0, 0, J108 * 0.15)</f>
        <v/>
      </c>
      <c r="M108">
        <f>IF(J108=0, 0, J108 * 0.15)</f>
        <v/>
      </c>
      <c r="O108">
        <f>SUM(H108:M108)</f>
        <v/>
      </c>
    </row>
    <row r="109">
      <c r="H109">
        <f>IF(J109=0, 0, J109 * 0.20)</f>
        <v/>
      </c>
      <c r="I109">
        <f>IF(J109=0, 0, J109 * 0.10)</f>
        <v/>
      </c>
      <c r="J109">
        <f>IF(OR($B$21="", D109="", E109="", F109=""), 0, SUMIFS(INDEX(INDIRECT("'"&amp;$B$21&amp;"'!D:H"), 0, MATCH(F109, INDIRECT("'"&amp;$B$21&amp;"'!D1:H1"), 0)), INDIRECT("'"&amp;$B$21&amp;"'!A:A"), D109, INDIRECT("'"&amp;$B$21&amp;"'!C:C"), E109) * IF(G109="", 1, G109))</f>
        <v/>
      </c>
      <c r="K109">
        <f>IF(J109=0, 0, J109 * 0.40)</f>
        <v/>
      </c>
      <c r="L109">
        <f>IF(J109=0, 0, J109 * 0.15)</f>
        <v/>
      </c>
      <c r="M109">
        <f>IF(J109=0, 0, J109 * 0.15)</f>
        <v/>
      </c>
      <c r="O109">
        <f>SUM(H109:M109)</f>
        <v/>
      </c>
    </row>
    <row r="110">
      <c r="H110">
        <f>IF(J110=0, 0, J110 * 0.20)</f>
        <v/>
      </c>
      <c r="I110">
        <f>IF(J110=0, 0, J110 * 0.10)</f>
        <v/>
      </c>
      <c r="J110">
        <f>IF(OR($B$21="", D110="", E110="", F110=""), 0, SUMIFS(INDEX(INDIRECT("'"&amp;$B$21&amp;"'!D:H"), 0, MATCH(F110, INDIRECT("'"&amp;$B$21&amp;"'!D1:H1"), 0)), INDIRECT("'"&amp;$B$21&amp;"'!A:A"), D110, INDIRECT("'"&amp;$B$21&amp;"'!C:C"), E110) * IF(G110="", 1, G110))</f>
        <v/>
      </c>
      <c r="K110">
        <f>IF(J110=0, 0, J110 * 0.40)</f>
        <v/>
      </c>
      <c r="L110">
        <f>IF(J110=0, 0, J110 * 0.15)</f>
        <v/>
      </c>
      <c r="M110">
        <f>IF(J110=0, 0, J110 * 0.15)</f>
        <v/>
      </c>
      <c r="O110">
        <f>SUM(H110:M110)</f>
        <v/>
      </c>
    </row>
    <row r="111">
      <c r="H111">
        <f>IF(J111=0, 0, J111 * 0.20)</f>
        <v/>
      </c>
      <c r="I111">
        <f>IF(J111=0, 0, J111 * 0.10)</f>
        <v/>
      </c>
      <c r="J111">
        <f>IF(OR($B$21="", D111="", E111="", F111=""), 0, SUMIFS(INDEX(INDIRECT("'"&amp;$B$21&amp;"'!D:H"), 0, MATCH(F111, INDIRECT("'"&amp;$B$21&amp;"'!D1:H1"), 0)), INDIRECT("'"&amp;$B$21&amp;"'!A:A"), D111, INDIRECT("'"&amp;$B$21&amp;"'!C:C"), E111) * IF(G111="", 1, G111))</f>
        <v/>
      </c>
      <c r="K111">
        <f>IF(J111=0, 0, J111 * 0.40)</f>
        <v/>
      </c>
      <c r="L111">
        <f>IF(J111=0, 0, J111 * 0.15)</f>
        <v/>
      </c>
      <c r="M111">
        <f>IF(J111=0, 0, J111 * 0.15)</f>
        <v/>
      </c>
      <c r="O111">
        <f>SUM(H111:M111)</f>
        <v/>
      </c>
    </row>
    <row r="112">
      <c r="H112">
        <f>IF(J112=0, 0, J112 * 0.20)</f>
        <v/>
      </c>
      <c r="I112">
        <f>IF(J112=0, 0, J112 * 0.10)</f>
        <v/>
      </c>
      <c r="J112">
        <f>IF(OR($B$21="", D112="", E112="", F112=""), 0, SUMIFS(INDEX(INDIRECT("'"&amp;$B$21&amp;"'!D:H"), 0, MATCH(F112, INDIRECT("'"&amp;$B$21&amp;"'!D1:H1"), 0)), INDIRECT("'"&amp;$B$21&amp;"'!A:A"), D112, INDIRECT("'"&amp;$B$21&amp;"'!C:C"), E112) * IF(G112="", 1, G112))</f>
        <v/>
      </c>
      <c r="K112">
        <f>IF(J112=0, 0, J112 * 0.40)</f>
        <v/>
      </c>
      <c r="L112">
        <f>IF(J112=0, 0, J112 * 0.15)</f>
        <v/>
      </c>
      <c r="M112">
        <f>IF(J112=0, 0, J112 * 0.15)</f>
        <v/>
      </c>
      <c r="O112">
        <f>SUM(H112:M112)</f>
        <v/>
      </c>
    </row>
    <row r="113">
      <c r="H113">
        <f>IF(J113=0, 0, J113 * 0.20)</f>
        <v/>
      </c>
      <c r="I113">
        <f>IF(J113=0, 0, J113 * 0.10)</f>
        <v/>
      </c>
      <c r="J113">
        <f>IF(OR($B$21="", D113="", E113="", F113=""), 0, SUMIFS(INDEX(INDIRECT("'"&amp;$B$21&amp;"'!D:H"), 0, MATCH(F113, INDIRECT("'"&amp;$B$21&amp;"'!D1:H1"), 0)), INDIRECT("'"&amp;$B$21&amp;"'!A:A"), D113, INDIRECT("'"&amp;$B$21&amp;"'!C:C"), E113) * IF(G113="", 1, G113))</f>
        <v/>
      </c>
      <c r="K113">
        <f>IF(J113=0, 0, J113 * 0.40)</f>
        <v/>
      </c>
      <c r="L113">
        <f>IF(J113=0, 0, J113 * 0.15)</f>
        <v/>
      </c>
      <c r="M113">
        <f>IF(J113=0, 0, J113 * 0.15)</f>
        <v/>
      </c>
      <c r="O113">
        <f>SUM(H113:M113)</f>
        <v/>
      </c>
    </row>
    <row r="114">
      <c r="H114">
        <f>IF(J114=0, 0, J114 * 0.20)</f>
        <v/>
      </c>
      <c r="I114">
        <f>IF(J114=0, 0, J114 * 0.10)</f>
        <v/>
      </c>
      <c r="J114">
        <f>IF(OR($B$21="", D114="", E114="", F114=""), 0, SUMIFS(INDEX(INDIRECT("'"&amp;$B$21&amp;"'!D:H"), 0, MATCH(F114, INDIRECT("'"&amp;$B$21&amp;"'!D1:H1"), 0)), INDIRECT("'"&amp;$B$21&amp;"'!A:A"), D114, INDIRECT("'"&amp;$B$21&amp;"'!C:C"), E114) * IF(G114="", 1, G114))</f>
        <v/>
      </c>
      <c r="K114">
        <f>IF(J114=0, 0, J114 * 0.40)</f>
        <v/>
      </c>
      <c r="L114">
        <f>IF(J114=0, 0, J114 * 0.15)</f>
        <v/>
      </c>
      <c r="M114">
        <f>IF(J114=0, 0, J114 * 0.15)</f>
        <v/>
      </c>
      <c r="O114">
        <f>SUM(H114:M114)</f>
        <v/>
      </c>
    </row>
    <row r="115">
      <c r="H115">
        <f>IF(J115=0, 0, J115 * 0.20)</f>
        <v/>
      </c>
      <c r="I115">
        <f>IF(J115=0, 0, J115 * 0.10)</f>
        <v/>
      </c>
      <c r="J115">
        <f>IF(OR($B$21="", D115="", E115="", F115=""), 0, SUMIFS(INDEX(INDIRECT("'"&amp;$B$21&amp;"'!D:H"), 0, MATCH(F115, INDIRECT("'"&amp;$B$21&amp;"'!D1:H1"), 0)), INDIRECT("'"&amp;$B$21&amp;"'!A:A"), D115, INDIRECT("'"&amp;$B$21&amp;"'!C:C"), E115) * IF(G115="", 1, G115))</f>
        <v/>
      </c>
      <c r="K115">
        <f>IF(J115=0, 0, J115 * 0.40)</f>
        <v/>
      </c>
      <c r="L115">
        <f>IF(J115=0, 0, J115 * 0.15)</f>
        <v/>
      </c>
      <c r="M115">
        <f>IF(J115=0, 0, J115 * 0.15)</f>
        <v/>
      </c>
      <c r="O115">
        <f>SUM(H115:M115)</f>
        <v/>
      </c>
    </row>
    <row r="116">
      <c r="H116">
        <f>IF(J116=0, 0, J116 * 0.20)</f>
        <v/>
      </c>
      <c r="I116">
        <f>IF(J116=0, 0, J116 * 0.10)</f>
        <v/>
      </c>
      <c r="J116">
        <f>IF(OR($B$21="", D116="", E116="", F116=""), 0, SUMIFS(INDEX(INDIRECT("'"&amp;$B$21&amp;"'!D:H"), 0, MATCH(F116, INDIRECT("'"&amp;$B$21&amp;"'!D1:H1"), 0)), INDIRECT("'"&amp;$B$21&amp;"'!A:A"), D116, INDIRECT("'"&amp;$B$21&amp;"'!C:C"), E116) * IF(G116="", 1, G116))</f>
        <v/>
      </c>
      <c r="K116">
        <f>IF(J116=0, 0, J116 * 0.40)</f>
        <v/>
      </c>
      <c r="L116">
        <f>IF(J116=0, 0, J116 * 0.15)</f>
        <v/>
      </c>
      <c r="M116">
        <f>IF(J116=0, 0, J116 * 0.15)</f>
        <v/>
      </c>
      <c r="O116">
        <f>SUM(H116:M116)</f>
        <v/>
      </c>
    </row>
    <row r="117">
      <c r="H117">
        <f>IF(J117=0, 0, J117 * 0.20)</f>
        <v/>
      </c>
      <c r="I117">
        <f>IF(J117=0, 0, J117 * 0.10)</f>
        <v/>
      </c>
      <c r="J117">
        <f>IF(OR($B$21="", D117="", E117="", F117=""), 0, SUMIFS(INDEX(INDIRECT("'"&amp;$B$21&amp;"'!D:H"), 0, MATCH(F117, INDIRECT("'"&amp;$B$21&amp;"'!D1:H1"), 0)), INDIRECT("'"&amp;$B$21&amp;"'!A:A"), D117, INDIRECT("'"&amp;$B$21&amp;"'!C:C"), E117) * IF(G117="", 1, G117))</f>
        <v/>
      </c>
      <c r="K117">
        <f>IF(J117=0, 0, J117 * 0.40)</f>
        <v/>
      </c>
      <c r="L117">
        <f>IF(J117=0, 0, J117 * 0.15)</f>
        <v/>
      </c>
      <c r="M117">
        <f>IF(J117=0, 0, J117 * 0.15)</f>
        <v/>
      </c>
      <c r="O117">
        <f>SUM(H117:M117)</f>
        <v/>
      </c>
    </row>
    <row r="118">
      <c r="H118">
        <f>IF(J118=0, 0, J118 * 0.20)</f>
        <v/>
      </c>
      <c r="I118">
        <f>IF(J118=0, 0, J118 * 0.10)</f>
        <v/>
      </c>
      <c r="J118">
        <f>IF(OR($B$21="", D118="", E118="", F118=""), 0, SUMIFS(INDEX(INDIRECT("'"&amp;$B$21&amp;"'!D:H"), 0, MATCH(F118, INDIRECT("'"&amp;$B$21&amp;"'!D1:H1"), 0)), INDIRECT("'"&amp;$B$21&amp;"'!A:A"), D118, INDIRECT("'"&amp;$B$21&amp;"'!C:C"), E118) * IF(G118="", 1, G118))</f>
        <v/>
      </c>
      <c r="K118">
        <f>IF(J118=0, 0, J118 * 0.40)</f>
        <v/>
      </c>
      <c r="L118">
        <f>IF(J118=0, 0, J118 * 0.15)</f>
        <v/>
      </c>
      <c r="M118">
        <f>IF(J118=0, 0, J118 * 0.15)</f>
        <v/>
      </c>
      <c r="O118">
        <f>SUM(H118:M118)</f>
        <v/>
      </c>
    </row>
    <row r="119">
      <c r="H119">
        <f>IF(J119=0, 0, J119 * 0.20)</f>
        <v/>
      </c>
      <c r="I119">
        <f>IF(J119=0, 0, J119 * 0.10)</f>
        <v/>
      </c>
      <c r="J119">
        <f>IF(OR($B$21="", D119="", E119="", F119=""), 0, SUMIFS(INDEX(INDIRECT("'"&amp;$B$21&amp;"'!D:H"), 0, MATCH(F119, INDIRECT("'"&amp;$B$21&amp;"'!D1:H1"), 0)), INDIRECT("'"&amp;$B$21&amp;"'!A:A"), D119, INDIRECT("'"&amp;$B$21&amp;"'!C:C"), E119) * IF(G119="", 1, G119))</f>
        <v/>
      </c>
      <c r="K119">
        <f>IF(J119=0, 0, J119 * 0.40)</f>
        <v/>
      </c>
      <c r="L119">
        <f>IF(J119=0, 0, J119 * 0.15)</f>
        <v/>
      </c>
      <c r="M119">
        <f>IF(J119=0, 0, J119 * 0.15)</f>
        <v/>
      </c>
      <c r="O119">
        <f>SUM(H119:M119)</f>
        <v/>
      </c>
    </row>
    <row r="120">
      <c r="H120">
        <f>IF(J120=0, 0, J120 * 0.20)</f>
        <v/>
      </c>
      <c r="I120">
        <f>IF(J120=0, 0, J120 * 0.10)</f>
        <v/>
      </c>
      <c r="J120">
        <f>IF(OR($B$21="", D120="", E120="", F120=""), 0, SUMIFS(INDEX(INDIRECT("'"&amp;$B$21&amp;"'!D:H"), 0, MATCH(F120, INDIRECT("'"&amp;$B$21&amp;"'!D1:H1"), 0)), INDIRECT("'"&amp;$B$21&amp;"'!A:A"), D120, INDIRECT("'"&amp;$B$21&amp;"'!C:C"), E120) * IF(G120="", 1, G120))</f>
        <v/>
      </c>
      <c r="K120">
        <f>IF(J120=0, 0, J120 * 0.40)</f>
        <v/>
      </c>
      <c r="L120">
        <f>IF(J120=0, 0, J120 * 0.15)</f>
        <v/>
      </c>
      <c r="M120">
        <f>IF(J120=0, 0, J120 * 0.15)</f>
        <v/>
      </c>
      <c r="O120">
        <f>SUM(H120:M120)</f>
        <v/>
      </c>
    </row>
    <row r="121">
      <c r="H121">
        <f>IF(J121=0, 0, J121 * 0.20)</f>
        <v/>
      </c>
      <c r="I121">
        <f>IF(J121=0, 0, J121 * 0.10)</f>
        <v/>
      </c>
      <c r="J121">
        <f>IF(OR($B$21="", D121="", E121="", F121=""), 0, SUMIFS(INDEX(INDIRECT("'"&amp;$B$21&amp;"'!D:H"), 0, MATCH(F121, INDIRECT("'"&amp;$B$21&amp;"'!D1:H1"), 0)), INDIRECT("'"&amp;$B$21&amp;"'!A:A"), D121, INDIRECT("'"&amp;$B$21&amp;"'!C:C"), E121) * IF(G121="", 1, G121))</f>
        <v/>
      </c>
      <c r="K121">
        <f>IF(J121=0, 0, J121 * 0.40)</f>
        <v/>
      </c>
      <c r="L121">
        <f>IF(J121=0, 0, J121 * 0.15)</f>
        <v/>
      </c>
      <c r="M121">
        <f>IF(J121=0, 0, J121 * 0.15)</f>
        <v/>
      </c>
      <c r="O121">
        <f>SUM(H121:M121)</f>
        <v/>
      </c>
    </row>
    <row r="122">
      <c r="H122">
        <f>IF(J122=0, 0, J122 * 0.20)</f>
        <v/>
      </c>
      <c r="I122">
        <f>IF(J122=0, 0, J122 * 0.10)</f>
        <v/>
      </c>
      <c r="J122">
        <f>IF(OR($B$21="", D122="", E122="", F122=""), 0, SUMIFS(INDEX(INDIRECT("'"&amp;$B$21&amp;"'!D:H"), 0, MATCH(F122, INDIRECT("'"&amp;$B$21&amp;"'!D1:H1"), 0)), INDIRECT("'"&amp;$B$21&amp;"'!A:A"), D122, INDIRECT("'"&amp;$B$21&amp;"'!C:C"), E122) * IF(G122="", 1, G122))</f>
        <v/>
      </c>
      <c r="K122">
        <f>IF(J122=0, 0, J122 * 0.40)</f>
        <v/>
      </c>
      <c r="L122">
        <f>IF(J122=0, 0, J122 * 0.15)</f>
        <v/>
      </c>
      <c r="M122">
        <f>IF(J122=0, 0, J122 * 0.15)</f>
        <v/>
      </c>
      <c r="O122">
        <f>SUM(H122:M122)</f>
        <v/>
      </c>
    </row>
    <row r="123">
      <c r="H123">
        <f>IF(J123=0, 0, J123 * 0.20)</f>
        <v/>
      </c>
      <c r="I123">
        <f>IF(J123=0, 0, J123 * 0.10)</f>
        <v/>
      </c>
      <c r="J123">
        <f>IF(OR($B$21="", D123="", E123="", F123=""), 0, SUMIFS(INDEX(INDIRECT("'"&amp;$B$21&amp;"'!D:H"), 0, MATCH(F123, INDIRECT("'"&amp;$B$21&amp;"'!D1:H1"), 0)), INDIRECT("'"&amp;$B$21&amp;"'!A:A"), D123, INDIRECT("'"&amp;$B$21&amp;"'!C:C"), E123) * IF(G123="", 1, G123))</f>
        <v/>
      </c>
      <c r="K123">
        <f>IF(J123=0, 0, J123 * 0.40)</f>
        <v/>
      </c>
      <c r="L123">
        <f>IF(J123=0, 0, J123 * 0.15)</f>
        <v/>
      </c>
      <c r="M123">
        <f>IF(J123=0, 0, J123 * 0.15)</f>
        <v/>
      </c>
      <c r="O123">
        <f>SUM(H123:M123)</f>
        <v/>
      </c>
    </row>
    <row r="124">
      <c r="H124">
        <f>IF(J124=0, 0, J124 * 0.20)</f>
        <v/>
      </c>
      <c r="I124">
        <f>IF(J124=0, 0, J124 * 0.10)</f>
        <v/>
      </c>
      <c r="J124">
        <f>IF(OR($B$21="", D124="", E124="", F124=""), 0, SUMIFS(INDEX(INDIRECT("'"&amp;$B$21&amp;"'!D:H"), 0, MATCH(F124, INDIRECT("'"&amp;$B$21&amp;"'!D1:H1"), 0)), INDIRECT("'"&amp;$B$21&amp;"'!A:A"), D124, INDIRECT("'"&amp;$B$21&amp;"'!C:C"), E124) * IF(G124="", 1, G124))</f>
        <v/>
      </c>
      <c r="K124">
        <f>IF(J124=0, 0, J124 * 0.40)</f>
        <v/>
      </c>
      <c r="L124">
        <f>IF(J124=0, 0, J124 * 0.15)</f>
        <v/>
      </c>
      <c r="M124">
        <f>IF(J124=0, 0, J124 * 0.15)</f>
        <v/>
      </c>
      <c r="O124">
        <f>SUM(H124:M124)</f>
        <v/>
      </c>
    </row>
    <row r="125">
      <c r="H125">
        <f>IF(J125=0, 0, J125 * 0.20)</f>
        <v/>
      </c>
      <c r="I125">
        <f>IF(J125=0, 0, J125 * 0.10)</f>
        <v/>
      </c>
      <c r="J125">
        <f>IF(OR($B$21="", D125="", E125="", F125=""), 0, SUMIFS(INDEX(INDIRECT("'"&amp;$B$21&amp;"'!D:H"), 0, MATCH(F125, INDIRECT("'"&amp;$B$21&amp;"'!D1:H1"), 0)), INDIRECT("'"&amp;$B$21&amp;"'!A:A"), D125, INDIRECT("'"&amp;$B$21&amp;"'!C:C"), E125) * IF(G125="", 1, G125))</f>
        <v/>
      </c>
      <c r="K125">
        <f>IF(J125=0, 0, J125 * 0.40)</f>
        <v/>
      </c>
      <c r="L125">
        <f>IF(J125=0, 0, J125 * 0.15)</f>
        <v/>
      </c>
      <c r="M125">
        <f>IF(J125=0, 0, J125 * 0.15)</f>
        <v/>
      </c>
      <c r="O125">
        <f>SUM(H125:M125)</f>
        <v/>
      </c>
    </row>
    <row r="126">
      <c r="H126">
        <f>IF(J126=0, 0, J126 * 0.20)</f>
        <v/>
      </c>
      <c r="I126">
        <f>IF(J126=0, 0, J126 * 0.10)</f>
        <v/>
      </c>
      <c r="J126">
        <f>IF(OR($B$21="", D126="", E126="", F126=""), 0, SUMIFS(INDEX(INDIRECT("'"&amp;$B$21&amp;"'!D:H"), 0, MATCH(F126, INDIRECT("'"&amp;$B$21&amp;"'!D1:H1"), 0)), INDIRECT("'"&amp;$B$21&amp;"'!A:A"), D126, INDIRECT("'"&amp;$B$21&amp;"'!C:C"), E126) * IF(G126="", 1, G126))</f>
        <v/>
      </c>
      <c r="K126">
        <f>IF(J126=0, 0, J126 * 0.40)</f>
        <v/>
      </c>
      <c r="L126">
        <f>IF(J126=0, 0, J126 * 0.15)</f>
        <v/>
      </c>
      <c r="M126">
        <f>IF(J126=0, 0, J126 * 0.15)</f>
        <v/>
      </c>
      <c r="O126">
        <f>SUM(H126:M126)</f>
        <v/>
      </c>
    </row>
    <row r="127">
      <c r="H127">
        <f>IF(J127=0, 0, J127 * 0.20)</f>
        <v/>
      </c>
      <c r="I127">
        <f>IF(J127=0, 0, J127 * 0.10)</f>
        <v/>
      </c>
      <c r="J127">
        <f>IF(OR($B$21="", D127="", E127="", F127=""), 0, SUMIFS(INDEX(INDIRECT("'"&amp;$B$21&amp;"'!D:H"), 0, MATCH(F127, INDIRECT("'"&amp;$B$21&amp;"'!D1:H1"), 0)), INDIRECT("'"&amp;$B$21&amp;"'!A:A"), D127, INDIRECT("'"&amp;$B$21&amp;"'!C:C"), E127) * IF(G127="", 1, G127))</f>
        <v/>
      </c>
      <c r="K127">
        <f>IF(J127=0, 0, J127 * 0.40)</f>
        <v/>
      </c>
      <c r="L127">
        <f>IF(J127=0, 0, J127 * 0.15)</f>
        <v/>
      </c>
      <c r="M127">
        <f>IF(J127=0, 0, J127 * 0.15)</f>
        <v/>
      </c>
      <c r="O127">
        <f>SUM(H127:M127)</f>
        <v/>
      </c>
    </row>
    <row r="128">
      <c r="H128">
        <f>IF(J128=0, 0, J128 * 0.20)</f>
        <v/>
      </c>
      <c r="I128">
        <f>IF(J128=0, 0, J128 * 0.10)</f>
        <v/>
      </c>
      <c r="J128">
        <f>IF(OR($B$21="", D128="", E128="", F128=""), 0, SUMIFS(INDEX(INDIRECT("'"&amp;$B$21&amp;"'!D:H"), 0, MATCH(F128, INDIRECT("'"&amp;$B$21&amp;"'!D1:H1"), 0)), INDIRECT("'"&amp;$B$21&amp;"'!A:A"), D128, INDIRECT("'"&amp;$B$21&amp;"'!C:C"), E128) * IF(G128="", 1, G128))</f>
        <v/>
      </c>
      <c r="K128">
        <f>IF(J128=0, 0, J128 * 0.40)</f>
        <v/>
      </c>
      <c r="L128">
        <f>IF(J128=0, 0, J128 * 0.15)</f>
        <v/>
      </c>
      <c r="M128">
        <f>IF(J128=0, 0, J128 * 0.15)</f>
        <v/>
      </c>
      <c r="O128">
        <f>SUM(H128:M128)</f>
        <v/>
      </c>
    </row>
    <row r="129">
      <c r="H129">
        <f>IF(J129=0, 0, J129 * 0.20)</f>
        <v/>
      </c>
      <c r="I129">
        <f>IF(J129=0, 0, J129 * 0.10)</f>
        <v/>
      </c>
      <c r="J129">
        <f>IF(OR($B$21="", D129="", E129="", F129=""), 0, SUMIFS(INDEX(INDIRECT("'"&amp;$B$21&amp;"'!D:H"), 0, MATCH(F129, INDIRECT("'"&amp;$B$21&amp;"'!D1:H1"), 0)), INDIRECT("'"&amp;$B$21&amp;"'!A:A"), D129, INDIRECT("'"&amp;$B$21&amp;"'!C:C"), E129) * IF(G129="", 1, G129))</f>
        <v/>
      </c>
      <c r="K129">
        <f>IF(J129=0, 0, J129 * 0.40)</f>
        <v/>
      </c>
      <c r="L129">
        <f>IF(J129=0, 0, J129 * 0.15)</f>
        <v/>
      </c>
      <c r="M129">
        <f>IF(J129=0, 0, J129 * 0.15)</f>
        <v/>
      </c>
      <c r="O129">
        <f>SUM(H129:M129)</f>
        <v/>
      </c>
    </row>
    <row r="130">
      <c r="H130">
        <f>IF(J130=0, 0, J130 * 0.20)</f>
        <v/>
      </c>
      <c r="I130">
        <f>IF(J130=0, 0, J130 * 0.10)</f>
        <v/>
      </c>
      <c r="J130">
        <f>IF(OR($B$21="", D130="", E130="", F130=""), 0, SUMIFS(INDEX(INDIRECT("'"&amp;$B$21&amp;"'!D:H"), 0, MATCH(F130, INDIRECT("'"&amp;$B$21&amp;"'!D1:H1"), 0)), INDIRECT("'"&amp;$B$21&amp;"'!A:A"), D130, INDIRECT("'"&amp;$B$21&amp;"'!C:C"), E130) * IF(G130="", 1, G130))</f>
        <v/>
      </c>
      <c r="K130">
        <f>IF(J130=0, 0, J130 * 0.40)</f>
        <v/>
      </c>
      <c r="L130">
        <f>IF(J130=0, 0, J130 * 0.15)</f>
        <v/>
      </c>
      <c r="M130">
        <f>IF(J130=0, 0, J130 * 0.15)</f>
        <v/>
      </c>
      <c r="O130">
        <f>SUM(H130:M130)</f>
        <v/>
      </c>
    </row>
    <row r="131">
      <c r="H131">
        <f>IF(J131=0, 0, J131 * 0.20)</f>
        <v/>
      </c>
      <c r="I131">
        <f>IF(J131=0, 0, J131 * 0.10)</f>
        <v/>
      </c>
      <c r="J131">
        <f>IF(OR($B$21="", D131="", E131="", F131=""), 0, SUMIFS(INDEX(INDIRECT("'"&amp;$B$21&amp;"'!D:H"), 0, MATCH(F131, INDIRECT("'"&amp;$B$21&amp;"'!D1:H1"), 0)), INDIRECT("'"&amp;$B$21&amp;"'!A:A"), D131, INDIRECT("'"&amp;$B$21&amp;"'!C:C"), E131) * IF(G131="", 1, G131))</f>
        <v/>
      </c>
      <c r="K131">
        <f>IF(J131=0, 0, J131 * 0.40)</f>
        <v/>
      </c>
      <c r="L131">
        <f>IF(J131=0, 0, J131 * 0.15)</f>
        <v/>
      </c>
      <c r="M131">
        <f>IF(J131=0, 0, J131 * 0.15)</f>
        <v/>
      </c>
      <c r="O131">
        <f>SUM(H131:M131)</f>
        <v/>
      </c>
    </row>
    <row r="132">
      <c r="H132">
        <f>IF(J132=0, 0, J132 * 0.20)</f>
        <v/>
      </c>
      <c r="I132">
        <f>IF(J132=0, 0, J132 * 0.10)</f>
        <v/>
      </c>
      <c r="J132">
        <f>IF(OR($B$21="", D132="", E132="", F132=""), 0, SUMIFS(INDEX(INDIRECT("'"&amp;$B$21&amp;"'!D:H"), 0, MATCH(F132, INDIRECT("'"&amp;$B$21&amp;"'!D1:H1"), 0)), INDIRECT("'"&amp;$B$21&amp;"'!A:A"), D132, INDIRECT("'"&amp;$B$21&amp;"'!C:C"), E132) * IF(G132="", 1, G132))</f>
        <v/>
      </c>
      <c r="K132">
        <f>IF(J132=0, 0, J132 * 0.40)</f>
        <v/>
      </c>
      <c r="L132">
        <f>IF(J132=0, 0, J132 * 0.15)</f>
        <v/>
      </c>
      <c r="M132">
        <f>IF(J132=0, 0, J132 * 0.15)</f>
        <v/>
      </c>
      <c r="O132">
        <f>SUM(H132:M132)</f>
        <v/>
      </c>
    </row>
    <row r="133">
      <c r="H133">
        <f>IF(J133=0, 0, J133 * 0.20)</f>
        <v/>
      </c>
      <c r="I133">
        <f>IF(J133=0, 0, J133 * 0.10)</f>
        <v/>
      </c>
      <c r="J133">
        <f>IF(OR($B$21="", D133="", E133="", F133=""), 0, SUMIFS(INDEX(INDIRECT("'"&amp;$B$21&amp;"'!D:H"), 0, MATCH(F133, INDIRECT("'"&amp;$B$21&amp;"'!D1:H1"), 0)), INDIRECT("'"&amp;$B$21&amp;"'!A:A"), D133, INDIRECT("'"&amp;$B$21&amp;"'!C:C"), E133) * IF(G133="", 1, G133))</f>
        <v/>
      </c>
      <c r="K133">
        <f>IF(J133=0, 0, J133 * 0.40)</f>
        <v/>
      </c>
      <c r="L133">
        <f>IF(J133=0, 0, J133 * 0.15)</f>
        <v/>
      </c>
      <c r="M133">
        <f>IF(J133=0, 0, J133 * 0.15)</f>
        <v/>
      </c>
      <c r="O133">
        <f>SUM(H133:M133)</f>
        <v/>
      </c>
    </row>
    <row r="134">
      <c r="H134">
        <f>IF(J134=0, 0, J134 * 0.20)</f>
        <v/>
      </c>
      <c r="I134">
        <f>IF(J134=0, 0, J134 * 0.10)</f>
        <v/>
      </c>
      <c r="J134">
        <f>IF(OR($B$21="", D134="", E134="", F134=""), 0, SUMIFS(INDEX(INDIRECT("'"&amp;$B$21&amp;"'!D:H"), 0, MATCH(F134, INDIRECT("'"&amp;$B$21&amp;"'!D1:H1"), 0)), INDIRECT("'"&amp;$B$21&amp;"'!A:A"), D134, INDIRECT("'"&amp;$B$21&amp;"'!C:C"), E134) * IF(G134="", 1, G134))</f>
        <v/>
      </c>
      <c r="K134">
        <f>IF(J134=0, 0, J134 * 0.40)</f>
        <v/>
      </c>
      <c r="L134">
        <f>IF(J134=0, 0, J134 * 0.15)</f>
        <v/>
      </c>
      <c r="M134">
        <f>IF(J134=0, 0, J134 * 0.15)</f>
        <v/>
      </c>
      <c r="O134">
        <f>SUM(H134:M134)</f>
        <v/>
      </c>
    </row>
    <row r="135">
      <c r="H135">
        <f>IF(J135=0, 0, J135 * 0.20)</f>
        <v/>
      </c>
      <c r="I135">
        <f>IF(J135=0, 0, J135 * 0.10)</f>
        <v/>
      </c>
      <c r="J135">
        <f>IF(OR($B$21="", D135="", E135="", F135=""), 0, SUMIFS(INDEX(INDIRECT("'"&amp;$B$21&amp;"'!D:H"), 0, MATCH(F135, INDIRECT("'"&amp;$B$21&amp;"'!D1:H1"), 0)), INDIRECT("'"&amp;$B$21&amp;"'!A:A"), D135, INDIRECT("'"&amp;$B$21&amp;"'!C:C"), E135) * IF(G135="", 1, G135))</f>
        <v/>
      </c>
      <c r="K135">
        <f>IF(J135=0, 0, J135 * 0.40)</f>
        <v/>
      </c>
      <c r="L135">
        <f>IF(J135=0, 0, J135 * 0.15)</f>
        <v/>
      </c>
      <c r="M135">
        <f>IF(J135=0, 0, J135 * 0.15)</f>
        <v/>
      </c>
      <c r="O135">
        <f>SUM(H135:M135)</f>
        <v/>
      </c>
    </row>
    <row r="136">
      <c r="H136">
        <f>IF(J136=0, 0, J136 * 0.20)</f>
        <v/>
      </c>
      <c r="I136">
        <f>IF(J136=0, 0, J136 * 0.10)</f>
        <v/>
      </c>
      <c r="J136">
        <f>IF(OR($B$21="", D136="", E136="", F136=""), 0, SUMIFS(INDEX(INDIRECT("'"&amp;$B$21&amp;"'!D:H"), 0, MATCH(F136, INDIRECT("'"&amp;$B$21&amp;"'!D1:H1"), 0)), INDIRECT("'"&amp;$B$21&amp;"'!A:A"), D136, INDIRECT("'"&amp;$B$21&amp;"'!C:C"), E136) * IF(G136="", 1, G136))</f>
        <v/>
      </c>
      <c r="K136">
        <f>IF(J136=0, 0, J136 * 0.40)</f>
        <v/>
      </c>
      <c r="L136">
        <f>IF(J136=0, 0, J136 * 0.15)</f>
        <v/>
      </c>
      <c r="M136">
        <f>IF(J136=0, 0, J136 * 0.15)</f>
        <v/>
      </c>
      <c r="O136">
        <f>SUM(H136:M136)</f>
        <v/>
      </c>
    </row>
    <row r="137">
      <c r="H137">
        <f>IF(J137=0, 0, J137 * 0.20)</f>
        <v/>
      </c>
      <c r="I137">
        <f>IF(J137=0, 0, J137 * 0.10)</f>
        <v/>
      </c>
      <c r="J137">
        <f>IF(OR($B$21="", D137="", E137="", F137=""), 0, SUMIFS(INDEX(INDIRECT("'"&amp;$B$21&amp;"'!D:H"), 0, MATCH(F137, INDIRECT("'"&amp;$B$21&amp;"'!D1:H1"), 0)), INDIRECT("'"&amp;$B$21&amp;"'!A:A"), D137, INDIRECT("'"&amp;$B$21&amp;"'!C:C"), E137) * IF(G137="", 1, G137))</f>
        <v/>
      </c>
      <c r="K137">
        <f>IF(J137=0, 0, J137 * 0.40)</f>
        <v/>
      </c>
      <c r="L137">
        <f>IF(J137=0, 0, J137 * 0.15)</f>
        <v/>
      </c>
      <c r="M137">
        <f>IF(J137=0, 0, J137 * 0.15)</f>
        <v/>
      </c>
      <c r="O137">
        <f>SUM(H137:M137)</f>
        <v/>
      </c>
    </row>
    <row r="138">
      <c r="H138">
        <f>IF(J138=0, 0, J138 * 0.20)</f>
        <v/>
      </c>
      <c r="I138">
        <f>IF(J138=0, 0, J138 * 0.10)</f>
        <v/>
      </c>
      <c r="J138">
        <f>IF(OR($B$21="", D138="", E138="", F138=""), 0, SUMIFS(INDEX(INDIRECT("'"&amp;$B$21&amp;"'!D:H"), 0, MATCH(F138, INDIRECT("'"&amp;$B$21&amp;"'!D1:H1"), 0)), INDIRECT("'"&amp;$B$21&amp;"'!A:A"), D138, INDIRECT("'"&amp;$B$21&amp;"'!C:C"), E138) * IF(G138="", 1, G138))</f>
        <v/>
      </c>
      <c r="K138">
        <f>IF(J138=0, 0, J138 * 0.40)</f>
        <v/>
      </c>
      <c r="L138">
        <f>IF(J138=0, 0, J138 * 0.15)</f>
        <v/>
      </c>
      <c r="M138">
        <f>IF(J138=0, 0, J138 * 0.15)</f>
        <v/>
      </c>
      <c r="O138">
        <f>SUM(H138:M138)</f>
        <v/>
      </c>
    </row>
    <row r="139">
      <c r="H139">
        <f>IF(J139=0, 0, J139 * 0.20)</f>
        <v/>
      </c>
      <c r="I139">
        <f>IF(J139=0, 0, J139 * 0.10)</f>
        <v/>
      </c>
      <c r="J139">
        <f>IF(OR($B$21="", D139="", E139="", F139=""), 0, SUMIFS(INDEX(INDIRECT("'"&amp;$B$21&amp;"'!D:H"), 0, MATCH(F139, INDIRECT("'"&amp;$B$21&amp;"'!D1:H1"), 0)), INDIRECT("'"&amp;$B$21&amp;"'!A:A"), D139, INDIRECT("'"&amp;$B$21&amp;"'!C:C"), E139) * IF(G139="", 1, G139))</f>
        <v/>
      </c>
      <c r="K139">
        <f>IF(J139=0, 0, J139 * 0.40)</f>
        <v/>
      </c>
      <c r="L139">
        <f>IF(J139=0, 0, J139 * 0.15)</f>
        <v/>
      </c>
      <c r="M139">
        <f>IF(J139=0, 0, J139 * 0.15)</f>
        <v/>
      </c>
      <c r="O139">
        <f>SUM(H139:M139)</f>
        <v/>
      </c>
    </row>
    <row r="140">
      <c r="H140">
        <f>IF(J140=0, 0, J140 * 0.20)</f>
        <v/>
      </c>
      <c r="I140">
        <f>IF(J140=0, 0, J140 * 0.10)</f>
        <v/>
      </c>
      <c r="J140">
        <f>IF(OR($B$21="", D140="", E140="", F140=""), 0, SUMIFS(INDEX(INDIRECT("'"&amp;$B$21&amp;"'!D:H"), 0, MATCH(F140, INDIRECT("'"&amp;$B$21&amp;"'!D1:H1"), 0)), INDIRECT("'"&amp;$B$21&amp;"'!A:A"), D140, INDIRECT("'"&amp;$B$21&amp;"'!C:C"), E140) * IF(G140="", 1, G140))</f>
        <v/>
      </c>
      <c r="K140">
        <f>IF(J140=0, 0, J140 * 0.40)</f>
        <v/>
      </c>
      <c r="L140">
        <f>IF(J140=0, 0, J140 * 0.15)</f>
        <v/>
      </c>
      <c r="M140">
        <f>IF(J140=0, 0, J140 * 0.15)</f>
        <v/>
      </c>
      <c r="O140">
        <f>SUM(H140:M140)</f>
        <v/>
      </c>
    </row>
    <row r="141">
      <c r="H141">
        <f>IF(J141=0, 0, J141 * 0.20)</f>
        <v/>
      </c>
      <c r="I141">
        <f>IF(J141=0, 0, J141 * 0.10)</f>
        <v/>
      </c>
      <c r="J141">
        <f>IF(OR($B$21="", D141="", E141="", F141=""), 0, SUMIFS(INDEX(INDIRECT("'"&amp;$B$21&amp;"'!D:H"), 0, MATCH(F141, INDIRECT("'"&amp;$B$21&amp;"'!D1:H1"), 0)), INDIRECT("'"&amp;$B$21&amp;"'!A:A"), D141, INDIRECT("'"&amp;$B$21&amp;"'!C:C"), E141) * IF(G141="", 1, G141))</f>
        <v/>
      </c>
      <c r="K141">
        <f>IF(J141=0, 0, J141 * 0.40)</f>
        <v/>
      </c>
      <c r="L141">
        <f>IF(J141=0, 0, J141 * 0.15)</f>
        <v/>
      </c>
      <c r="M141">
        <f>IF(J141=0, 0, J141 * 0.15)</f>
        <v/>
      </c>
      <c r="O141">
        <f>SUM(H141:M141)</f>
        <v/>
      </c>
    </row>
    <row r="142">
      <c r="H142">
        <f>IF(J142=0, 0, J142 * 0.20)</f>
        <v/>
      </c>
      <c r="I142">
        <f>IF(J142=0, 0, J142 * 0.10)</f>
        <v/>
      </c>
      <c r="J142">
        <f>IF(OR($B$21="", D142="", E142="", F142=""), 0, SUMIFS(INDEX(INDIRECT("'"&amp;$B$21&amp;"'!D:H"), 0, MATCH(F142, INDIRECT("'"&amp;$B$21&amp;"'!D1:H1"), 0)), INDIRECT("'"&amp;$B$21&amp;"'!A:A"), D142, INDIRECT("'"&amp;$B$21&amp;"'!C:C"), E142) * IF(G142="", 1, G142))</f>
        <v/>
      </c>
      <c r="K142">
        <f>IF(J142=0, 0, J142 * 0.40)</f>
        <v/>
      </c>
      <c r="L142">
        <f>IF(J142=0, 0, J142 * 0.15)</f>
        <v/>
      </c>
      <c r="M142">
        <f>IF(J142=0, 0, J142 * 0.15)</f>
        <v/>
      </c>
      <c r="O142">
        <f>SUM(H142:M142)</f>
        <v/>
      </c>
    </row>
    <row r="143">
      <c r="H143">
        <f>IF(J143=0, 0, J143 * 0.20)</f>
        <v/>
      </c>
      <c r="I143">
        <f>IF(J143=0, 0, J143 * 0.10)</f>
        <v/>
      </c>
      <c r="J143">
        <f>IF(OR($B$21="", D143="", E143="", F143=""), 0, SUMIFS(INDEX(INDIRECT("'"&amp;$B$21&amp;"'!D:H"), 0, MATCH(F143, INDIRECT("'"&amp;$B$21&amp;"'!D1:H1"), 0)), INDIRECT("'"&amp;$B$21&amp;"'!A:A"), D143, INDIRECT("'"&amp;$B$21&amp;"'!C:C"), E143) * IF(G143="", 1, G143))</f>
        <v/>
      </c>
      <c r="K143">
        <f>IF(J143=0, 0, J143 * 0.40)</f>
        <v/>
      </c>
      <c r="L143">
        <f>IF(J143=0, 0, J143 * 0.15)</f>
        <v/>
      </c>
      <c r="M143">
        <f>IF(J143=0, 0, J143 * 0.15)</f>
        <v/>
      </c>
      <c r="O143">
        <f>SUM(H143:M143)</f>
        <v/>
      </c>
    </row>
    <row r="144">
      <c r="H144">
        <f>IF(J144=0, 0, J144 * 0.20)</f>
        <v/>
      </c>
      <c r="I144">
        <f>IF(J144=0, 0, J144 * 0.10)</f>
        <v/>
      </c>
      <c r="J144">
        <f>IF(OR($B$21="", D144="", E144="", F144=""), 0, SUMIFS(INDEX(INDIRECT("'"&amp;$B$21&amp;"'!D:H"), 0, MATCH(F144, INDIRECT("'"&amp;$B$21&amp;"'!D1:H1"), 0)), INDIRECT("'"&amp;$B$21&amp;"'!A:A"), D144, INDIRECT("'"&amp;$B$21&amp;"'!C:C"), E144) * IF(G144="", 1, G144))</f>
        <v/>
      </c>
      <c r="K144">
        <f>IF(J144=0, 0, J144 * 0.40)</f>
        <v/>
      </c>
      <c r="L144">
        <f>IF(J144=0, 0, J144 * 0.15)</f>
        <v/>
      </c>
      <c r="M144">
        <f>IF(J144=0, 0, J144 * 0.15)</f>
        <v/>
      </c>
      <c r="O144">
        <f>SUM(H144:M144)</f>
        <v/>
      </c>
    </row>
    <row r="145">
      <c r="H145">
        <f>IF(J145=0, 0, J145 * 0.20)</f>
        <v/>
      </c>
      <c r="I145">
        <f>IF(J145=0, 0, J145 * 0.10)</f>
        <v/>
      </c>
      <c r="J145">
        <f>IF(OR($B$21="", D145="", E145="", F145=""), 0, SUMIFS(INDEX(INDIRECT("'"&amp;$B$21&amp;"'!D:H"), 0, MATCH(F145, INDIRECT("'"&amp;$B$21&amp;"'!D1:H1"), 0)), INDIRECT("'"&amp;$B$21&amp;"'!A:A"), D145, INDIRECT("'"&amp;$B$21&amp;"'!C:C"), E145) * IF(G145="", 1, G145))</f>
        <v/>
      </c>
      <c r="K145">
        <f>IF(J145=0, 0, J145 * 0.40)</f>
        <v/>
      </c>
      <c r="L145">
        <f>IF(J145=0, 0, J145 * 0.15)</f>
        <v/>
      </c>
      <c r="M145">
        <f>IF(J145=0, 0, J145 * 0.15)</f>
        <v/>
      </c>
      <c r="O145">
        <f>SUM(H145:M145)</f>
        <v/>
      </c>
    </row>
    <row r="146">
      <c r="H146">
        <f>IF(J146=0, 0, J146 * 0.20)</f>
        <v/>
      </c>
      <c r="I146">
        <f>IF(J146=0, 0, J146 * 0.10)</f>
        <v/>
      </c>
      <c r="J146">
        <f>IF(OR($B$21="", D146="", E146="", F146=""), 0, SUMIFS(INDEX(INDIRECT("'"&amp;$B$21&amp;"'!D:H"), 0, MATCH(F146, INDIRECT("'"&amp;$B$21&amp;"'!D1:H1"), 0)), INDIRECT("'"&amp;$B$21&amp;"'!A:A"), D146, INDIRECT("'"&amp;$B$21&amp;"'!C:C"), E146) * IF(G146="", 1, G146))</f>
        <v/>
      </c>
      <c r="K146">
        <f>IF(J146=0, 0, J146 * 0.40)</f>
        <v/>
      </c>
      <c r="L146">
        <f>IF(J146=0, 0, J146 * 0.15)</f>
        <v/>
      </c>
      <c r="M146">
        <f>IF(J146=0, 0, J146 * 0.15)</f>
        <v/>
      </c>
      <c r="O146">
        <f>SUM(H146:M146)</f>
        <v/>
      </c>
    </row>
    <row r="147">
      <c r="H147">
        <f>IF(J147=0, 0, J147 * 0.20)</f>
        <v/>
      </c>
      <c r="I147">
        <f>IF(J147=0, 0, J147 * 0.10)</f>
        <v/>
      </c>
      <c r="J147">
        <f>IF(OR($B$21="", D147="", E147="", F147=""), 0, SUMIFS(INDEX(INDIRECT("'"&amp;$B$21&amp;"'!D:H"), 0, MATCH(F147, INDIRECT("'"&amp;$B$21&amp;"'!D1:H1"), 0)), INDIRECT("'"&amp;$B$21&amp;"'!A:A"), D147, INDIRECT("'"&amp;$B$21&amp;"'!C:C"), E147) * IF(G147="", 1, G147))</f>
        <v/>
      </c>
      <c r="K147">
        <f>IF(J147=0, 0, J147 * 0.40)</f>
        <v/>
      </c>
      <c r="L147">
        <f>IF(J147=0, 0, J147 * 0.15)</f>
        <v/>
      </c>
      <c r="M147">
        <f>IF(J147=0, 0, J147 * 0.15)</f>
        <v/>
      </c>
      <c r="O147">
        <f>SUM(H147:M147)</f>
        <v/>
      </c>
    </row>
    <row r="148">
      <c r="H148">
        <f>IF(J148=0, 0, J148 * 0.20)</f>
        <v/>
      </c>
      <c r="I148">
        <f>IF(J148=0, 0, J148 * 0.10)</f>
        <v/>
      </c>
      <c r="J148">
        <f>IF(OR($B$21="", D148="", E148="", F148=""), 0, SUMIFS(INDEX(INDIRECT("'"&amp;$B$21&amp;"'!D:H"), 0, MATCH(F148, INDIRECT("'"&amp;$B$21&amp;"'!D1:H1"), 0)), INDIRECT("'"&amp;$B$21&amp;"'!A:A"), D148, INDIRECT("'"&amp;$B$21&amp;"'!C:C"), E148) * IF(G148="", 1, G148))</f>
        <v/>
      </c>
      <c r="K148">
        <f>IF(J148=0, 0, J148 * 0.40)</f>
        <v/>
      </c>
      <c r="L148">
        <f>IF(J148=0, 0, J148 * 0.15)</f>
        <v/>
      </c>
      <c r="M148">
        <f>IF(J148=0, 0, J148 * 0.15)</f>
        <v/>
      </c>
      <c r="O148">
        <f>SUM(H148:M148)</f>
        <v/>
      </c>
    </row>
    <row r="149">
      <c r="H149">
        <f>IF(J149=0, 0, J149 * 0.20)</f>
        <v/>
      </c>
      <c r="I149">
        <f>IF(J149=0, 0, J149 * 0.10)</f>
        <v/>
      </c>
      <c r="J149">
        <f>IF(OR($B$21="", D149="", E149="", F149=""), 0, SUMIFS(INDEX(INDIRECT("'"&amp;$B$21&amp;"'!D:H"), 0, MATCH(F149, INDIRECT("'"&amp;$B$21&amp;"'!D1:H1"), 0)), INDIRECT("'"&amp;$B$21&amp;"'!A:A"), D149, INDIRECT("'"&amp;$B$21&amp;"'!C:C"), E149) * IF(G149="", 1, G149))</f>
        <v/>
      </c>
      <c r="K149">
        <f>IF(J149=0, 0, J149 * 0.40)</f>
        <v/>
      </c>
      <c r="L149">
        <f>IF(J149=0, 0, J149 * 0.15)</f>
        <v/>
      </c>
      <c r="M149">
        <f>IF(J149=0, 0, J149 * 0.15)</f>
        <v/>
      </c>
      <c r="O149">
        <f>SUM(H149:M149)</f>
        <v/>
      </c>
    </row>
    <row r="150">
      <c r="H150">
        <f>IF(J150=0, 0, J150 * 0.20)</f>
        <v/>
      </c>
      <c r="I150">
        <f>IF(J150=0, 0, J150 * 0.10)</f>
        <v/>
      </c>
      <c r="J150">
        <f>IF(OR($B$21="", D150="", E150="", F150=""), 0, SUMIFS(INDEX(INDIRECT("'"&amp;$B$21&amp;"'!D:H"), 0, MATCH(F150, INDIRECT("'"&amp;$B$21&amp;"'!D1:H1"), 0)), INDIRECT("'"&amp;$B$21&amp;"'!A:A"), D150, INDIRECT("'"&amp;$B$21&amp;"'!C:C"), E150) * IF(G150="", 1, G150))</f>
        <v/>
      </c>
      <c r="K150">
        <f>IF(J150=0, 0, J150 * 0.40)</f>
        <v/>
      </c>
      <c r="L150">
        <f>IF(J150=0, 0, J150 * 0.15)</f>
        <v/>
      </c>
      <c r="M150">
        <f>IF(J150=0, 0, J150 * 0.15)</f>
        <v/>
      </c>
      <c r="O150">
        <f>SUM(H150:M150)</f>
        <v/>
      </c>
    </row>
  </sheetData>
  <mergeCells count="15">
    <mergeCell ref="N20:S21"/>
    <mergeCell ref="B54:M54"/>
    <mergeCell ref="B53:M53"/>
    <mergeCell ref="I8:I9"/>
    <mergeCell ref="H8:H9"/>
    <mergeCell ref="L8:L9"/>
    <mergeCell ref="K8:K9"/>
    <mergeCell ref="J8:J9"/>
    <mergeCell ref="O1:S1"/>
    <mergeCell ref="Q8:Q9"/>
    <mergeCell ref="B8:B9"/>
    <mergeCell ref="B56:M56"/>
    <mergeCell ref="B52:M52"/>
    <mergeCell ref="C8:G8"/>
    <mergeCell ref="B55:M55"/>
  </mergeCells>
  <dataValidations count="8">
    <dataValidation sqref="B21" showDropDown="0" showInputMessage="1" showErrorMessage="1" allowBlank="1" type="list">
      <formula1>"Dot Net, Sharepoint"</formula1>
    </dataValidation>
    <dataValidation sqref="D26:D29 D30:D47" showDropDown="0" showInputMessage="1" showErrorMessage="1" allowBlank="1" type="list">
      <formula1>"Novo,Ajuste"</formula1>
    </dataValidation>
    <dataValidation sqref="F26:F29 F30:F47" showDropDown="0" showInputMessage="1" showErrorMessage="1" allowBlank="1" type="list">
      <formula1>"Muito Baixa, Baixa, Média, Alta, Muito Alta"</formula1>
    </dataValidation>
    <dataValidation sqref="E26:E29 E30:E47" showDropDown="0" showInputMessage="1" showErrorMessage="1" allowBlank="1" type="list">
      <formula1>INDIRECT("'"&amp;$B$21&amp;"'!$B$9:$B$32")</formula1>
    </dataValidation>
    <dataValidation sqref="B21" showDropDown="0" showInputMessage="0" showErrorMessage="0" allowBlank="1" type="list">
      <formula1>Planilha1!$A$21:$A$31</formula1>
    </dataValidation>
    <dataValidation sqref="D25 D26 D27 D28 D29 D30 D31 D32 D33 D34 D35 D36 D37 D38 D39 D40 D41 D42 D43 D44 D45 D46 D47 D48 D49 D50 D51 D52 D53 D54 D55 D56 D57 D58 D59 D60 D61 D62 D63 D64 D65 D66 D67 D68 D69 D70 D71 D72 D73 D74 D75 D76 D77 D78 D79 D80 D81 D82 D83 D84 D85 D86 D87 D88 D89 D90 D91 D92 D93 D94 D95 D96 D97 D98 D99 D100 D101 D102 D103 D104 D105 D106 D107 D108 D109 D110 D111 D112 D113 D114 D115 D116 D117 D118 D119 D120 D121 D122 D123 D124 D125 D126 D127 D128 D129 D130 D131 D132 D133 D134 D135 D136 D137 D138 D139 D140 D141 D142 D143 D144 D145 D146 D147 D148 D149 D150" showDropDown="0" showInputMessage="0" showErrorMessage="0" allowBlank="1" type="list">
      <formula1>"Novo,Ajuste"</formula1>
    </dataValidation>
    <dataValidation sqref="F25 F26 F27 F28 F29 F30 F31 F32 F33 F34 F35 F36 F37 F38 F39 F40 F41 F42 F43 F44 F45 F46 F47 F48 F49 F50 F51 F52 F53 F54 F55 F56 F57 F58 F59 F60 F61 F62 F63 F64 F65 F66 F67 F68 F69 F70 F71 F72 F73 F74 F75 F76 F77 F78 F79 F80 F81 F82 F83 F84 F85 F86 F87 F88 F89 F90 F91 F92 F93 F94 F95 F96 F97 F98 F99 F100 F101 F102 F103 F104 F105 F106 F107 F108 F109 F110 F111 F112 F113 F114 F115 F116 F117 F118 F119 F120 F121 F122 F123 F124 F125 F126 F127 F128 F129 F130 F131 F132 F133 F134 F135 F136 F137 F138 F139 F140 F141 F142 F143 F144 F145 F146 F147 F148 F149 F150" showDropDown="0" showInputMessage="0" showErrorMessage="0" allowBlank="1" type="list">
      <formula1>"Muito Baixa,Baixa,Média,Alta,Muito Alta"</formula1>
    </dataValidation>
    <dataValidation sqref="E25 E26 E27 E28 E29 E30 E31 E32 E33 E34 E35 E36 E37 E38 E39 E40 E41 E42 E43 E44 E45 E46 E47 E48 E49 E50 E51 E52 E53 E54 E55 E56 E57 E58 E59 E60 E61 E62 E63 E64 E65 E66 E67 E68 E69 E70 E71 E72 E73 E74 E75 E76 E77 E78 E79 E80 E81 E82 E83 E84 E85 E86 E87 E88 E89 E90 E91 E92 E93 E94 E95 E96 E97 E98 E99 E100 E101 E102 E103 E104 E105 E106 E107 E108 E109 E110 E111 E112 E113 E114 E115 E116 E117 E118 E119 E120 E121 E122 E123 E124 E125 E126 E127 E128 E129 E130 E131 E132 E133 E134 E135 E136 E137 E138 E139 E140 E141 E142 E143 E144 E145 E146 E147 E148 E149 E150" showDropDown="0" showInputMessage="0" showErrorMessage="0" allowBlank="1" type="list">
      <formula1>Planilha1!$B$21:$B$39</formula1>
    </dataValidation>
  </dataValidations>
  <pageMargins left="0.511811024" right="0.511811024" top="0.787401575" bottom="0.787401575" header="0.31496062" footer="0.31496062"/>
  <pageSetup orientation="portrait" paperSize="9"/>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1" summaryRight="1"/>
    <pageSetUpPr/>
  </sheetPr>
  <dimension ref="A1:G39"/>
  <sheetViews>
    <sheetView workbookViewId="0">
      <selection activeCell="B3" sqref="B3:C3"/>
    </sheetView>
  </sheetViews>
  <sheetFormatPr baseColWidth="8" defaultRowHeight="14.45"/>
  <sheetData>
    <row r="1">
      <c r="B1" s="249" t="n">
        <v>45931</v>
      </c>
      <c r="C1" s="249" t="n">
        <v>45962</v>
      </c>
      <c r="D1" s="249" t="n">
        <v>45992</v>
      </c>
      <c r="E1" s="249" t="n">
        <v>46023</v>
      </c>
      <c r="F1" s="249" t="n">
        <v>46054</v>
      </c>
      <c r="G1" s="249" t="n">
        <v>46082</v>
      </c>
    </row>
    <row r="2">
      <c r="A2" t="inlineStr">
        <is>
          <t>Acquia</t>
        </is>
      </c>
    </row>
    <row r="3">
      <c r="A3" t="inlineStr">
        <is>
          <t>Azure</t>
        </is>
      </c>
      <c r="B3" s="250" t="n"/>
      <c r="C3" s="250" t="n"/>
    </row>
    <row r="4">
      <c r="A4" t="inlineStr">
        <is>
          <t>Legado</t>
        </is>
      </c>
    </row>
    <row r="5">
      <c r="A5" t="inlineStr">
        <is>
          <t>APP</t>
        </is>
      </c>
      <c r="E5" s="250" t="n"/>
    </row>
    <row r="6">
      <c r="A6" t="inlineStr">
        <is>
          <t>Totem</t>
        </is>
      </c>
      <c r="C6" s="250" t="n"/>
      <c r="D6" s="250" t="n"/>
    </row>
    <row r="20">
      <c r="A20" t="inlineStr">
        <is>
          <t>Technologies</t>
        </is>
      </c>
      <c r="B20" t="inlineStr">
        <is>
          <t>Elementos</t>
        </is>
      </c>
    </row>
    <row r="21">
      <c r="A21" t="inlineStr">
        <is>
          <t>Android (Java)</t>
        </is>
      </c>
      <c r="B21" t="inlineStr">
        <is>
          <t>Tela de Autenticação / Login</t>
        </is>
      </c>
    </row>
    <row r="22">
      <c r="A22" t="inlineStr">
        <is>
          <t>ASP.NET Web Forms</t>
        </is>
      </c>
      <c r="B22" t="inlineStr">
        <is>
          <t>Formulário de Cadastro Simples</t>
        </is>
      </c>
    </row>
    <row r="23">
      <c r="A23" t="inlineStr">
        <is>
          <t>ASP.NET MVC</t>
        </is>
      </c>
      <c r="B23" t="inlineStr">
        <is>
          <t>Formulário Mestre-Detalhe</t>
        </is>
      </c>
    </row>
    <row r="24">
      <c r="A24" t="inlineStr">
        <is>
          <t>ASP.NET Webservices</t>
        </is>
      </c>
      <c r="B24" t="inlineStr">
        <is>
          <t>Listagem / Grid</t>
        </is>
      </c>
    </row>
    <row r="25">
      <c r="A25" t="inlineStr">
        <is>
          <t>C#</t>
        </is>
      </c>
      <c r="B25" t="inlineStr">
        <is>
          <t>Dashboard / Relatório Gráfico</t>
        </is>
      </c>
    </row>
    <row r="26">
      <c r="A26" t="inlineStr">
        <is>
          <t>EPM</t>
        </is>
      </c>
      <c r="B26" t="inlineStr">
        <is>
          <t>Componente Visual Customizado</t>
        </is>
      </c>
    </row>
    <row r="27">
      <c r="A27" t="inlineStr">
        <is>
          <t>Java</t>
        </is>
      </c>
      <c r="B27" t="inlineStr">
        <is>
          <t>Regra de Negócio Simples</t>
        </is>
      </c>
    </row>
    <row r="28">
      <c r="A28" t="inlineStr">
        <is>
          <t>iOS (Objective C)</t>
        </is>
      </c>
      <c r="B28" t="inlineStr">
        <is>
          <t>Regra de Negócio Complexa</t>
        </is>
      </c>
    </row>
    <row r="29">
      <c r="A29" t="inlineStr">
        <is>
          <t>VB.NET</t>
        </is>
      </c>
      <c r="B29" t="inlineStr">
        <is>
          <t>Endpoint de API (CRUD Padrão)</t>
        </is>
      </c>
    </row>
    <row r="30">
      <c r="A30" t="inlineStr">
        <is>
          <t>VB 6</t>
        </is>
      </c>
      <c r="B30" t="inlineStr">
        <is>
          <t>Gestão de Perfis / Permissões</t>
        </is>
      </c>
    </row>
    <row r="31">
      <c r="A31" t="inlineStr">
        <is>
          <t>Sharepoint</t>
        </is>
      </c>
      <c r="B31" t="inlineStr">
        <is>
          <t>Consumo de API Externa (Outbound)</t>
        </is>
      </c>
    </row>
    <row r="32">
      <c r="B32" t="inlineStr">
        <is>
          <t>Serviço de Recepção (Inbound)</t>
        </is>
      </c>
    </row>
    <row r="33">
      <c r="B33" t="inlineStr">
        <is>
          <t>Job / Rotina Assíncrona</t>
        </is>
      </c>
    </row>
    <row r="34">
      <c r="B34" t="inlineStr">
        <is>
          <t>Modelagem / Entidade Básica</t>
        </is>
      </c>
    </row>
    <row r="35">
      <c r="B35" t="inlineStr">
        <is>
          <t>View ou Query Complexa</t>
        </is>
      </c>
    </row>
    <row r="36">
      <c r="B36" t="inlineStr">
        <is>
          <t>Script de Carga de Dados (ETL)</t>
        </is>
      </c>
    </row>
    <row r="37">
      <c r="B37" t="inlineStr">
        <is>
          <t>Setup de Projeto Base</t>
        </is>
      </c>
    </row>
    <row r="38">
      <c r="B38" t="inlineStr">
        <is>
          <t>Testes Unitários</t>
        </is>
      </c>
    </row>
    <row r="39">
      <c r="B39" t="inlineStr">
        <is>
          <t>Documentação Técnica</t>
        </is>
      </c>
    </row>
  </sheetData>
  <pageMargins left="0.511811024" right="0.511811024" top="0.787401575" bottom="0.787401575" header="0.31496062" footer="0.31496062"/>
</worksheet>
</file>

<file path=xl/worksheets/sheet3.xml><?xml version="1.0" encoding="utf-8"?>
<worksheet xmlns="http://schemas.openxmlformats.org/spreadsheetml/2006/main">
  <sheetPr codeName="Plan4">
    <outlinePr summaryBelow="1" summaryRight="1"/>
    <pageSetUpPr/>
  </sheetPr>
  <dimension ref="A1:CA255"/>
  <sheetViews>
    <sheetView workbookViewId="0">
      <selection activeCell="L1" sqref="L1:L1048576"/>
    </sheetView>
  </sheetViews>
  <sheetFormatPr baseColWidth="8" defaultColWidth="9.28515625" defaultRowHeight="13.15"/>
  <cols>
    <col width="3.28515625" customWidth="1" style="1" min="1" max="1"/>
    <col width="30.7109375" customWidth="1" style="2" min="2" max="2"/>
    <col hidden="1" width="5.5703125" customWidth="1" style="1" min="3" max="3"/>
    <col width="5.5703125" customWidth="1" style="1" min="4" max="4"/>
    <col width="4.5703125" customWidth="1" style="1" min="5" max="5"/>
    <col width="5.5703125" customWidth="1" style="1" min="6" max="6"/>
    <col width="5" customWidth="1" style="1" min="7" max="7"/>
    <col width="5.7109375" bestFit="1" customWidth="1" style="1" min="8" max="8"/>
    <col hidden="1" width="7" customWidth="1" style="1" min="9" max="9"/>
    <col hidden="1" width="6.7109375" customWidth="1" style="1" min="10" max="10"/>
    <col width="5.7109375" customWidth="1" style="1" min="11" max="11"/>
    <col hidden="1" width="5.42578125" customWidth="1" style="1" min="12" max="12"/>
    <col width="5" customWidth="1" style="1" min="13" max="17"/>
    <col hidden="1" width="3.7109375" customWidth="1" style="1" min="18" max="19"/>
    <col width="5.7109375" customWidth="1" style="1" min="20" max="20"/>
    <col hidden="1" width="4.7109375" customWidth="1" style="1" min="21" max="21"/>
    <col width="5" customWidth="1" style="1" min="22" max="26"/>
    <col hidden="1" width="3.7109375" customWidth="1" style="1" min="27" max="28"/>
    <col width="5.7109375" customWidth="1" style="1" min="29" max="29"/>
    <col hidden="1" width="3" customWidth="1" style="1" min="30" max="30"/>
    <col width="5" customWidth="1" style="1" min="31" max="35"/>
    <col hidden="1" width="3.7109375" customWidth="1" style="1" min="36" max="37"/>
    <col width="5.7109375" customWidth="1" style="1" min="38" max="38"/>
    <col hidden="1" width="3.5703125" customWidth="1" style="1" min="39" max="39"/>
    <col width="5" customWidth="1" style="1" min="40" max="44"/>
    <col hidden="1" width="3.7109375" customWidth="1" style="1" min="45" max="46"/>
    <col width="5.7109375" customWidth="1" style="1" min="47" max="47"/>
    <col width="3.7109375" customWidth="1" style="1" min="48" max="53"/>
    <col width="7.42578125" bestFit="1" customWidth="1" style="1" min="54" max="54"/>
    <col width="9.28515625" customWidth="1" style="2" min="55" max="78"/>
    <col hidden="1" width="6.28515625" customWidth="1" style="2" min="79" max="79"/>
    <col width="9.28515625" customWidth="1" style="2" min="80" max="16384"/>
  </cols>
  <sheetData>
    <row r="1" ht="48.6" customFormat="1" customHeight="1" s="367">
      <c r="G1" s="96" t="n"/>
      <c r="O1" s="367" t="n"/>
    </row>
    <row r="2" ht="48.6" customFormat="1" customHeight="1" s="367">
      <c r="G2" s="96" t="n"/>
    </row>
    <row r="3" ht="22.15" customFormat="1" customHeight="1" s="367">
      <c r="G3" s="96" t="n"/>
    </row>
    <row r="4" ht="7.9" customFormat="1" customHeight="1" s="83">
      <c r="G4" s="84" t="n"/>
    </row>
    <row r="5" ht="16.15" customHeight="1" thickBot="1">
      <c r="B5" s="292" t="n"/>
    </row>
    <row r="6" ht="15" customHeight="1">
      <c r="A6" s="293" t="n"/>
      <c r="B6" s="108" t="inlineStr">
        <is>
          <t>Complexidade</t>
        </is>
      </c>
      <c r="C6" s="294" t="inlineStr">
        <is>
          <t>Muito Baixa</t>
        </is>
      </c>
      <c r="D6" s="378" t="n"/>
      <c r="E6" s="378" t="n"/>
      <c r="F6" s="378" t="n"/>
      <c r="G6" s="378" t="n"/>
      <c r="H6" s="378" t="n"/>
      <c r="I6" s="378" t="n"/>
      <c r="J6" s="378" t="n"/>
      <c r="K6" s="379" t="n"/>
      <c r="L6" s="295" t="inlineStr">
        <is>
          <t>Baixa</t>
        </is>
      </c>
      <c r="M6" s="378" t="n"/>
      <c r="N6" s="378" t="n"/>
      <c r="O6" s="378" t="n"/>
      <c r="P6" s="378" t="n"/>
      <c r="Q6" s="378" t="n"/>
      <c r="R6" s="378" t="n"/>
      <c r="S6" s="378" t="n"/>
      <c r="T6" s="379" t="n"/>
      <c r="U6" s="295" t="inlineStr">
        <is>
          <t>Média</t>
        </is>
      </c>
      <c r="V6" s="378" t="n"/>
      <c r="W6" s="378" t="n"/>
      <c r="X6" s="378" t="n"/>
      <c r="Y6" s="378" t="n"/>
      <c r="Z6" s="378" t="n"/>
      <c r="AA6" s="378" t="n"/>
      <c r="AB6" s="378" t="n"/>
      <c r="AC6" s="379" t="n"/>
      <c r="AD6" s="295" t="inlineStr">
        <is>
          <t>Alta</t>
        </is>
      </c>
      <c r="AE6" s="378" t="n"/>
      <c r="AF6" s="378" t="n"/>
      <c r="AG6" s="378" t="n"/>
      <c r="AH6" s="378" t="n"/>
      <c r="AI6" s="378" t="n"/>
      <c r="AJ6" s="378" t="n"/>
      <c r="AK6" s="378" t="n"/>
      <c r="AL6" s="379" t="n"/>
      <c r="AM6" s="295" t="inlineStr">
        <is>
          <t>Muito Alta</t>
        </is>
      </c>
      <c r="AN6" s="378" t="n"/>
      <c r="AO6" s="378" t="n"/>
      <c r="AP6" s="378" t="n"/>
      <c r="AQ6" s="378" t="n"/>
      <c r="AR6" s="378" t="n"/>
      <c r="AS6" s="378" t="n"/>
      <c r="AT6" s="378" t="n"/>
      <c r="AU6" s="379" t="n"/>
    </row>
    <row r="7" ht="15" customHeight="1" thickBot="1">
      <c r="B7" s="109" t="inlineStr">
        <is>
          <t>Elemento</t>
        </is>
      </c>
      <c r="C7" s="110" t="n"/>
      <c r="D7" s="111" t="inlineStr">
        <is>
          <t>EF</t>
        </is>
      </c>
      <c r="E7" s="111" t="inlineStr">
        <is>
          <t>ET</t>
        </is>
      </c>
      <c r="F7" s="111" t="inlineStr">
        <is>
          <t>DE</t>
        </is>
      </c>
      <c r="G7" s="111" t="inlineStr">
        <is>
          <t>TE</t>
        </is>
      </c>
      <c r="H7" s="111" t="inlineStr">
        <is>
          <t>HML</t>
        </is>
      </c>
      <c r="I7" s="112" t="n"/>
      <c r="J7" s="113" t="inlineStr">
        <is>
          <t>Total</t>
        </is>
      </c>
      <c r="K7" s="112" t="inlineStr">
        <is>
          <t>TO</t>
        </is>
      </c>
      <c r="L7" s="112" t="n"/>
      <c r="M7" s="111" t="inlineStr">
        <is>
          <t>EF</t>
        </is>
      </c>
      <c r="N7" s="111" t="inlineStr">
        <is>
          <t>ET</t>
        </is>
      </c>
      <c r="O7" s="111" t="inlineStr">
        <is>
          <t>DE</t>
        </is>
      </c>
      <c r="P7" s="111" t="inlineStr">
        <is>
          <t>TE</t>
        </is>
      </c>
      <c r="Q7" s="111" t="inlineStr">
        <is>
          <t>HML</t>
        </is>
      </c>
      <c r="R7" s="112" t="inlineStr">
        <is>
          <t>IM</t>
        </is>
      </c>
      <c r="S7" s="113" t="inlineStr">
        <is>
          <t>Total</t>
        </is>
      </c>
      <c r="T7" s="112" t="inlineStr">
        <is>
          <t>TO</t>
        </is>
      </c>
      <c r="U7" s="112" t="n"/>
      <c r="V7" s="111" t="inlineStr">
        <is>
          <t>EF</t>
        </is>
      </c>
      <c r="W7" s="111" t="inlineStr">
        <is>
          <t>ET</t>
        </is>
      </c>
      <c r="X7" s="111" t="inlineStr">
        <is>
          <t>DE</t>
        </is>
      </c>
      <c r="Y7" s="111" t="inlineStr">
        <is>
          <t>TE</t>
        </is>
      </c>
      <c r="Z7" s="111" t="inlineStr">
        <is>
          <t>HML</t>
        </is>
      </c>
      <c r="AA7" s="112" t="inlineStr">
        <is>
          <t>IM</t>
        </is>
      </c>
      <c r="AB7" s="113" t="inlineStr">
        <is>
          <t>Total</t>
        </is>
      </c>
      <c r="AC7" s="112" t="inlineStr">
        <is>
          <t>TO</t>
        </is>
      </c>
      <c r="AD7" s="112" t="n"/>
      <c r="AE7" s="111" t="inlineStr">
        <is>
          <t>EF</t>
        </is>
      </c>
      <c r="AF7" s="111" t="inlineStr">
        <is>
          <t>ET</t>
        </is>
      </c>
      <c r="AG7" s="111" t="inlineStr">
        <is>
          <t>DE</t>
        </is>
      </c>
      <c r="AH7" s="111" t="inlineStr">
        <is>
          <t>TE</t>
        </is>
      </c>
      <c r="AI7" s="111" t="inlineStr">
        <is>
          <t>HML</t>
        </is>
      </c>
      <c r="AJ7" s="112" t="inlineStr">
        <is>
          <t>IM</t>
        </is>
      </c>
      <c r="AK7" s="113" t="inlineStr">
        <is>
          <t>Total</t>
        </is>
      </c>
      <c r="AL7" s="112" t="inlineStr">
        <is>
          <t>TO</t>
        </is>
      </c>
      <c r="AM7" s="112" t="n"/>
      <c r="AN7" s="111" t="inlineStr">
        <is>
          <t>EF</t>
        </is>
      </c>
      <c r="AO7" s="111" t="inlineStr">
        <is>
          <t>ET</t>
        </is>
      </c>
      <c r="AP7" s="111" t="inlineStr">
        <is>
          <t>DE</t>
        </is>
      </c>
      <c r="AQ7" s="111" t="inlineStr">
        <is>
          <t>TE</t>
        </is>
      </c>
      <c r="AR7" s="111" t="inlineStr">
        <is>
          <t>HML</t>
        </is>
      </c>
      <c r="AS7" s="112" t="inlineStr">
        <is>
          <t>IM</t>
        </is>
      </c>
      <c r="AT7" s="113" t="inlineStr">
        <is>
          <t>Total</t>
        </is>
      </c>
      <c r="AU7" s="114" t="inlineStr">
        <is>
          <t>TO</t>
        </is>
      </c>
      <c r="AV7" s="3" t="n"/>
      <c r="AW7" s="3" t="n"/>
      <c r="AX7" s="3" t="n"/>
      <c r="AY7" s="3" t="n"/>
      <c r="AZ7" s="3" t="n"/>
      <c r="BA7" s="3" t="n"/>
      <c r="BB7" s="3" t="n"/>
    </row>
    <row r="8" ht="15" customHeight="1">
      <c r="A8" s="297" t="inlineStr">
        <is>
          <t>NOVO</t>
        </is>
      </c>
      <c r="B8" s="115" t="inlineStr">
        <is>
          <t>Apresentação</t>
        </is>
      </c>
      <c r="C8" s="380" t="n"/>
      <c r="D8" s="381">
        <f>H134</f>
        <v/>
      </c>
      <c r="E8" s="382">
        <f>I134</f>
        <v/>
      </c>
      <c r="F8" s="382">
        <f>J134</f>
        <v/>
      </c>
      <c r="G8" s="382">
        <f>K134</f>
        <v/>
      </c>
      <c r="H8" s="382">
        <f>L134</f>
        <v/>
      </c>
      <c r="I8" s="119">
        <f>M134</f>
        <v/>
      </c>
      <c r="J8" s="120" t="e">
        <v>#DIV/0!</v>
      </c>
      <c r="K8" s="121">
        <f>N134</f>
        <v/>
      </c>
      <c r="L8" s="383" t="n"/>
      <c r="M8" s="382">
        <f>H158</f>
        <v/>
      </c>
      <c r="N8" s="382">
        <f>I158</f>
        <v/>
      </c>
      <c r="O8" s="382">
        <f>J158</f>
        <v/>
      </c>
      <c r="P8" s="382">
        <f>K158</f>
        <v/>
      </c>
      <c r="Q8" s="382">
        <f>L158</f>
        <v/>
      </c>
      <c r="R8" s="119">
        <f>S8*$C$17</f>
        <v/>
      </c>
      <c r="S8" s="120" t="e">
        <v>#DIV/0!</v>
      </c>
      <c r="T8" s="123">
        <f>N158</f>
        <v/>
      </c>
      <c r="U8" s="380" t="n"/>
      <c r="V8" s="381">
        <f>H182</f>
        <v/>
      </c>
      <c r="W8" s="382">
        <f>I182</f>
        <v/>
      </c>
      <c r="X8" s="382">
        <f>J182</f>
        <v/>
      </c>
      <c r="Y8" s="382">
        <f>K182</f>
        <v/>
      </c>
      <c r="Z8" s="382">
        <f>L182</f>
        <v/>
      </c>
      <c r="AA8" s="119">
        <f>AB8*$C$17</f>
        <v/>
      </c>
      <c r="AB8" s="120" t="e">
        <v>#DIV/0!</v>
      </c>
      <c r="AC8" s="121">
        <f>N182</f>
        <v/>
      </c>
      <c r="AD8" s="383" t="n"/>
      <c r="AE8" s="382">
        <f>H206</f>
        <v/>
      </c>
      <c r="AF8" s="382">
        <f>I206</f>
        <v/>
      </c>
      <c r="AG8" s="382">
        <f>J206</f>
        <v/>
      </c>
      <c r="AH8" s="382">
        <f>K206</f>
        <v/>
      </c>
      <c r="AI8" s="382">
        <f>L206</f>
        <v/>
      </c>
      <c r="AJ8" s="119">
        <f>AK8*$C$17</f>
        <v/>
      </c>
      <c r="AK8" s="120" t="e">
        <v>#DIV/0!</v>
      </c>
      <c r="AL8" s="123">
        <f>N206</f>
        <v/>
      </c>
      <c r="AM8" s="380" t="n"/>
      <c r="AN8" s="381">
        <f>H230</f>
        <v/>
      </c>
      <c r="AO8" s="382">
        <f>I230</f>
        <v/>
      </c>
      <c r="AP8" s="382">
        <f>J230</f>
        <v/>
      </c>
      <c r="AQ8" s="382">
        <f>K230</f>
        <v/>
      </c>
      <c r="AR8" s="382">
        <f>L230</f>
        <v/>
      </c>
      <c r="AS8" s="119">
        <f>AT8*$C$17</f>
        <v/>
      </c>
      <c r="AT8" s="120" t="e">
        <v>#DIV/0!</v>
      </c>
      <c r="AU8" s="121">
        <f>N230</f>
        <v/>
      </c>
      <c r="AV8" s="3" t="n"/>
      <c r="AW8" s="3" t="n"/>
      <c r="AX8" s="384" t="n"/>
      <c r="AY8" s="384" t="n"/>
      <c r="AZ8" s="384" t="n"/>
      <c r="BA8" s="384" t="n"/>
      <c r="BB8" s="384" t="n"/>
    </row>
    <row r="9" ht="15" customHeight="1">
      <c r="A9" s="385" t="n"/>
      <c r="B9" s="124" t="inlineStr">
        <is>
          <t>Workflow</t>
        </is>
      </c>
      <c r="C9" s="386" t="n"/>
      <c r="D9" s="387">
        <f>H135</f>
        <v/>
      </c>
      <c r="E9" s="388">
        <f>I135</f>
        <v/>
      </c>
      <c r="F9" s="388">
        <f>J135</f>
        <v/>
      </c>
      <c r="G9" s="388">
        <f>K135</f>
        <v/>
      </c>
      <c r="H9" s="388">
        <f>L135</f>
        <v/>
      </c>
      <c r="I9" s="128">
        <f>J9*$C$17</f>
        <v/>
      </c>
      <c r="J9" s="129" t="e">
        <v>#DIV/0!</v>
      </c>
      <c r="K9" s="130">
        <f>N135</f>
        <v/>
      </c>
      <c r="L9" s="389" t="n"/>
      <c r="M9" s="388">
        <f>H159</f>
        <v/>
      </c>
      <c r="N9" s="388">
        <f>I159</f>
        <v/>
      </c>
      <c r="O9" s="388">
        <f>J159</f>
        <v/>
      </c>
      <c r="P9" s="388">
        <f>K159</f>
        <v/>
      </c>
      <c r="Q9" s="388">
        <f>L159</f>
        <v/>
      </c>
      <c r="R9" s="128">
        <f>S9*$C$17</f>
        <v/>
      </c>
      <c r="S9" s="129" t="e">
        <v>#DIV/0!</v>
      </c>
      <c r="T9" s="132">
        <f>N159</f>
        <v/>
      </c>
      <c r="U9" s="386" t="n"/>
      <c r="V9" s="387">
        <f>H183</f>
        <v/>
      </c>
      <c r="W9" s="388">
        <f>I183</f>
        <v/>
      </c>
      <c r="X9" s="388">
        <f>J183</f>
        <v/>
      </c>
      <c r="Y9" s="388">
        <f>K183</f>
        <v/>
      </c>
      <c r="Z9" s="388">
        <f>L183</f>
        <v/>
      </c>
      <c r="AA9" s="128">
        <f>AB9*$C$17</f>
        <v/>
      </c>
      <c r="AB9" s="129" t="e">
        <v>#DIV/0!</v>
      </c>
      <c r="AC9" s="130">
        <f>N183</f>
        <v/>
      </c>
      <c r="AD9" s="389" t="n"/>
      <c r="AE9" s="388">
        <f>H207</f>
        <v/>
      </c>
      <c r="AF9" s="388">
        <f>I207</f>
        <v/>
      </c>
      <c r="AG9" s="388">
        <f>J207</f>
        <v/>
      </c>
      <c r="AH9" s="388">
        <f>K207</f>
        <v/>
      </c>
      <c r="AI9" s="388">
        <f>L207</f>
        <v/>
      </c>
      <c r="AJ9" s="128">
        <f>AK9*$C$17</f>
        <v/>
      </c>
      <c r="AK9" s="129" t="e">
        <v>#DIV/0!</v>
      </c>
      <c r="AL9" s="132">
        <f>N207</f>
        <v/>
      </c>
      <c r="AM9" s="386" t="n"/>
      <c r="AN9" s="387">
        <f>H231</f>
        <v/>
      </c>
      <c r="AO9" s="388">
        <f>I231</f>
        <v/>
      </c>
      <c r="AP9" s="388">
        <f>J231</f>
        <v/>
      </c>
      <c r="AQ9" s="388">
        <f>K231</f>
        <v/>
      </c>
      <c r="AR9" s="388">
        <f>L231</f>
        <v/>
      </c>
      <c r="AS9" s="128">
        <f>AT9*$C$17</f>
        <v/>
      </c>
      <c r="AT9" s="129" t="e">
        <v>#DIV/0!</v>
      </c>
      <c r="AU9" s="130">
        <f>N231</f>
        <v/>
      </c>
      <c r="AV9" s="3" t="n"/>
      <c r="AW9" s="3" t="n"/>
      <c r="AX9" s="384" t="n"/>
      <c r="AY9" s="384" t="n"/>
      <c r="AZ9" s="384" t="n"/>
      <c r="BA9" s="384" t="n"/>
      <c r="BB9" s="384" t="n"/>
      <c r="CA9" s="6" t="inlineStr">
        <is>
          <t>Formulário (Web / Windows Forms)</t>
        </is>
      </c>
    </row>
    <row r="10" ht="15" customHeight="1">
      <c r="A10" s="385" t="n"/>
      <c r="B10" s="124" t="inlineStr">
        <is>
          <t>Estrutura</t>
        </is>
      </c>
      <c r="C10" s="386" t="n"/>
      <c r="D10" s="387">
        <f>H136</f>
        <v/>
      </c>
      <c r="E10" s="388">
        <f>I136</f>
        <v/>
      </c>
      <c r="F10" s="388">
        <f>J136</f>
        <v/>
      </c>
      <c r="G10" s="388">
        <f>K136</f>
        <v/>
      </c>
      <c r="H10" s="388">
        <f>L136</f>
        <v/>
      </c>
      <c r="I10" s="128">
        <f>J10*$C$17</f>
        <v/>
      </c>
      <c r="J10" s="129" t="e">
        <v>#DIV/0!</v>
      </c>
      <c r="K10" s="130">
        <f>N136</f>
        <v/>
      </c>
      <c r="L10" s="389" t="n"/>
      <c r="M10" s="388">
        <f>H160</f>
        <v/>
      </c>
      <c r="N10" s="388">
        <f>I160</f>
        <v/>
      </c>
      <c r="O10" s="388">
        <f>J160</f>
        <v/>
      </c>
      <c r="P10" s="388">
        <f>K160</f>
        <v/>
      </c>
      <c r="Q10" s="388">
        <f>L160</f>
        <v/>
      </c>
      <c r="R10" s="128">
        <f>S10*$C$17</f>
        <v/>
      </c>
      <c r="S10" s="129" t="e">
        <v>#DIV/0!</v>
      </c>
      <c r="T10" s="132">
        <f>N160</f>
        <v/>
      </c>
      <c r="U10" s="386" t="n"/>
      <c r="V10" s="387">
        <f>H184</f>
        <v/>
      </c>
      <c r="W10" s="388">
        <f>I184</f>
        <v/>
      </c>
      <c r="X10" s="388">
        <f>J184</f>
        <v/>
      </c>
      <c r="Y10" s="388">
        <f>K184</f>
        <v/>
      </c>
      <c r="Z10" s="388">
        <f>L184</f>
        <v/>
      </c>
      <c r="AA10" s="128">
        <f>AB10*$C$17</f>
        <v/>
      </c>
      <c r="AB10" s="129" t="e">
        <v>#DIV/0!</v>
      </c>
      <c r="AC10" s="130">
        <f>N184</f>
        <v/>
      </c>
      <c r="AD10" s="389" t="n"/>
      <c r="AE10" s="388">
        <f>H208</f>
        <v/>
      </c>
      <c r="AF10" s="388">
        <f>I208</f>
        <v/>
      </c>
      <c r="AG10" s="388">
        <f>J208</f>
        <v/>
      </c>
      <c r="AH10" s="388">
        <f>K208</f>
        <v/>
      </c>
      <c r="AI10" s="388">
        <f>L208</f>
        <v/>
      </c>
      <c r="AJ10" s="128">
        <f>AK10*$C$17</f>
        <v/>
      </c>
      <c r="AK10" s="129" t="e">
        <v>#DIV/0!</v>
      </c>
      <c r="AL10" s="132">
        <f>N208</f>
        <v/>
      </c>
      <c r="AM10" s="386" t="n"/>
      <c r="AN10" s="387">
        <f>H232</f>
        <v/>
      </c>
      <c r="AO10" s="388">
        <f>I232</f>
        <v/>
      </c>
      <c r="AP10" s="388">
        <f>J232</f>
        <v/>
      </c>
      <c r="AQ10" s="388">
        <f>K232</f>
        <v/>
      </c>
      <c r="AR10" s="388">
        <f>L232</f>
        <v/>
      </c>
      <c r="AS10" s="128">
        <f>AT10*$C$17</f>
        <v/>
      </c>
      <c r="AT10" s="129" t="e">
        <v>#DIV/0!</v>
      </c>
      <c r="AU10" s="130">
        <f>N232</f>
        <v/>
      </c>
      <c r="AV10" s="3" t="n"/>
      <c r="AW10" s="3" t="n"/>
      <c r="AX10" s="384" t="n"/>
      <c r="AY10" s="384" t="n"/>
      <c r="AZ10" s="384" t="n"/>
      <c r="BA10" s="384" t="n"/>
      <c r="BB10" s="384" t="n"/>
      <c r="BC10" s="390" t="n"/>
      <c r="CA10" s="6" t="inlineStr">
        <is>
          <t>Formulário (MVC / Angular)</t>
        </is>
      </c>
    </row>
    <row r="11" ht="15" customHeight="1">
      <c r="A11" s="385" t="n"/>
      <c r="B11" s="124" t="inlineStr">
        <is>
          <t>Treinamento / Manual</t>
        </is>
      </c>
      <c r="C11" s="133" t="n"/>
      <c r="D11" s="387">
        <f>H137</f>
        <v/>
      </c>
      <c r="E11" s="388">
        <f>I137</f>
        <v/>
      </c>
      <c r="F11" s="388">
        <f>J137</f>
        <v/>
      </c>
      <c r="G11" s="388">
        <f>K137</f>
        <v/>
      </c>
      <c r="H11" s="388">
        <f>L137</f>
        <v/>
      </c>
      <c r="I11" s="134" t="n"/>
      <c r="J11" s="129" t="n"/>
      <c r="K11" s="130">
        <f>N137</f>
        <v/>
      </c>
      <c r="L11" s="389" t="n"/>
      <c r="M11" s="388">
        <f>H161</f>
        <v/>
      </c>
      <c r="N11" s="388">
        <f>I161</f>
        <v/>
      </c>
      <c r="O11" s="388">
        <f>J161</f>
        <v/>
      </c>
      <c r="P11" s="388">
        <f>K161</f>
        <v/>
      </c>
      <c r="Q11" s="388">
        <f>L161</f>
        <v/>
      </c>
      <c r="R11" s="128">
        <f>S11*$C$17</f>
        <v/>
      </c>
      <c r="S11" s="129" t="e">
        <v>#DIV/0!</v>
      </c>
      <c r="T11" s="132">
        <f>N161</f>
        <v/>
      </c>
      <c r="U11" s="386" t="n"/>
      <c r="V11" s="387">
        <f>H185</f>
        <v/>
      </c>
      <c r="W11" s="388">
        <f>I185</f>
        <v/>
      </c>
      <c r="X11" s="388">
        <f>J185</f>
        <v/>
      </c>
      <c r="Y11" s="388">
        <f>K185</f>
        <v/>
      </c>
      <c r="Z11" s="388">
        <f>L185</f>
        <v/>
      </c>
      <c r="AA11" s="128">
        <f>AB11*$C$17</f>
        <v/>
      </c>
      <c r="AB11" s="129" t="e">
        <v>#DIV/0!</v>
      </c>
      <c r="AC11" s="130">
        <f>N185</f>
        <v/>
      </c>
      <c r="AD11" s="389" t="n"/>
      <c r="AE11" s="388">
        <f>H209</f>
        <v/>
      </c>
      <c r="AF11" s="388">
        <f>I209</f>
        <v/>
      </c>
      <c r="AG11" s="388">
        <f>J209</f>
        <v/>
      </c>
      <c r="AH11" s="388">
        <f>K209</f>
        <v/>
      </c>
      <c r="AI11" s="388">
        <f>L209</f>
        <v/>
      </c>
      <c r="AJ11" s="128">
        <f>AK11*$C$17</f>
        <v/>
      </c>
      <c r="AK11" s="129" t="e">
        <v>#DIV/0!</v>
      </c>
      <c r="AL11" s="132">
        <f>N209</f>
        <v/>
      </c>
      <c r="AM11" s="386" t="n"/>
      <c r="AN11" s="387">
        <f>H233</f>
        <v/>
      </c>
      <c r="AO11" s="388">
        <f>I233</f>
        <v/>
      </c>
      <c r="AP11" s="388">
        <f>J233</f>
        <v/>
      </c>
      <c r="AQ11" s="388">
        <f>K233</f>
        <v/>
      </c>
      <c r="AR11" s="388">
        <f>L233</f>
        <v/>
      </c>
      <c r="AS11" s="128">
        <f>AT11*$C$17</f>
        <v/>
      </c>
      <c r="AT11" s="129" t="e">
        <v>#DIV/0!</v>
      </c>
      <c r="AU11" s="130">
        <f>N233</f>
        <v/>
      </c>
      <c r="AV11" s="3" t="n"/>
      <c r="AW11" s="3" t="n"/>
      <c r="AX11" s="384" t="n"/>
      <c r="AY11" s="384" t="n"/>
      <c r="AZ11" s="384" t="n"/>
      <c r="BA11" s="384" t="n"/>
      <c r="BB11" s="384" t="n"/>
      <c r="CA11" s="6" t="inlineStr">
        <is>
          <t>Regra</t>
        </is>
      </c>
    </row>
    <row r="12" ht="15" customHeight="1" thickBot="1">
      <c r="A12" s="385" t="n"/>
      <c r="B12" s="124" t="inlineStr">
        <is>
          <t>Tarefa padrão</t>
        </is>
      </c>
      <c r="C12" s="133" t="n"/>
      <c r="D12" s="387">
        <f>H138</f>
        <v/>
      </c>
      <c r="E12" s="388">
        <f>I138</f>
        <v/>
      </c>
      <c r="F12" s="388">
        <f>J138</f>
        <v/>
      </c>
      <c r="G12" s="388">
        <f>K138</f>
        <v/>
      </c>
      <c r="H12" s="388">
        <f>L138</f>
        <v/>
      </c>
      <c r="I12" s="134" t="n"/>
      <c r="J12" s="129" t="n"/>
      <c r="K12" s="130">
        <f>N138</f>
        <v/>
      </c>
      <c r="L12" s="389" t="n"/>
      <c r="M12" s="388">
        <f>H162</f>
        <v/>
      </c>
      <c r="N12" s="388">
        <f>I162</f>
        <v/>
      </c>
      <c r="O12" s="388">
        <f>J162</f>
        <v/>
      </c>
      <c r="P12" s="388">
        <f>K162</f>
        <v/>
      </c>
      <c r="Q12" s="388">
        <f>L162</f>
        <v/>
      </c>
      <c r="R12" s="128">
        <f>S12*$C$17</f>
        <v/>
      </c>
      <c r="S12" s="129" t="e">
        <v>#DIV/0!</v>
      </c>
      <c r="T12" s="132">
        <f>N162</f>
        <v/>
      </c>
      <c r="U12" s="386" t="n"/>
      <c r="V12" s="387">
        <f>H186</f>
        <v/>
      </c>
      <c r="W12" s="388">
        <f>I186</f>
        <v/>
      </c>
      <c r="X12" s="388">
        <f>J186</f>
        <v/>
      </c>
      <c r="Y12" s="388">
        <f>K186</f>
        <v/>
      </c>
      <c r="Z12" s="388">
        <f>L186</f>
        <v/>
      </c>
      <c r="AA12" s="128">
        <f>AB12*$C$17</f>
        <v/>
      </c>
      <c r="AB12" s="129" t="e">
        <v>#DIV/0!</v>
      </c>
      <c r="AC12" s="130">
        <f>N186</f>
        <v/>
      </c>
      <c r="AD12" s="389" t="n"/>
      <c r="AE12" s="388">
        <f>H210</f>
        <v/>
      </c>
      <c r="AF12" s="388">
        <f>I210</f>
        <v/>
      </c>
      <c r="AG12" s="388">
        <f>J210</f>
        <v/>
      </c>
      <c r="AH12" s="388">
        <f>K210</f>
        <v/>
      </c>
      <c r="AI12" s="388">
        <f>L210</f>
        <v/>
      </c>
      <c r="AJ12" s="128">
        <f>AK12*$C$17</f>
        <v/>
      </c>
      <c r="AK12" s="129" t="e">
        <v>#DIV/0!</v>
      </c>
      <c r="AL12" s="132">
        <f>N210</f>
        <v/>
      </c>
      <c r="AM12" s="386" t="n"/>
      <c r="AN12" s="387">
        <f>H234</f>
        <v/>
      </c>
      <c r="AO12" s="388">
        <f>I234</f>
        <v/>
      </c>
      <c r="AP12" s="388">
        <f>J234</f>
        <v/>
      </c>
      <c r="AQ12" s="388">
        <f>K234</f>
        <v/>
      </c>
      <c r="AR12" s="388">
        <f>L234</f>
        <v/>
      </c>
      <c r="AS12" s="128">
        <f>AT12*$C$17</f>
        <v/>
      </c>
      <c r="AT12" s="129" t="e">
        <v>#DIV/0!</v>
      </c>
      <c r="AU12" s="130">
        <f>N234</f>
        <v/>
      </c>
      <c r="AV12" s="3" t="n"/>
      <c r="AW12" s="3" t="n"/>
      <c r="AX12" s="384" t="n"/>
      <c r="AY12" s="384" t="n"/>
      <c r="AZ12" s="384" t="n"/>
      <c r="BA12" s="384" t="n"/>
      <c r="BB12" s="384" t="n"/>
      <c r="CA12" s="6" t="inlineStr">
        <is>
          <t>Interface (Outbound)</t>
        </is>
      </c>
    </row>
    <row r="13" ht="29.65" customHeight="1">
      <c r="A13" s="391" t="inlineStr">
        <is>
          <t>AJUSTE</t>
        </is>
      </c>
      <c r="B13" s="115" t="inlineStr">
        <is>
          <t>Apresentação</t>
        </is>
      </c>
      <c r="C13" s="380" t="n"/>
      <c r="D13" s="381">
        <f>H139</f>
        <v/>
      </c>
      <c r="E13" s="382">
        <f>I139</f>
        <v/>
      </c>
      <c r="F13" s="382">
        <f>J139</f>
        <v/>
      </c>
      <c r="G13" s="382">
        <f>K139</f>
        <v/>
      </c>
      <c r="H13" s="382">
        <f>L139</f>
        <v/>
      </c>
      <c r="I13" s="119">
        <f>J13*$C$17</f>
        <v/>
      </c>
      <c r="J13" s="120" t="e">
        <v>#DIV/0!</v>
      </c>
      <c r="K13" s="146">
        <f>N139</f>
        <v/>
      </c>
      <c r="L13" s="147" t="n"/>
      <c r="M13" s="382">
        <f>H163</f>
        <v/>
      </c>
      <c r="N13" s="382">
        <f>I163</f>
        <v/>
      </c>
      <c r="O13" s="382">
        <f>J163</f>
        <v/>
      </c>
      <c r="P13" s="382">
        <f>K163</f>
        <v/>
      </c>
      <c r="Q13" s="382">
        <f>L163</f>
        <v/>
      </c>
      <c r="R13" s="119">
        <f>S13*$C$17</f>
        <v/>
      </c>
      <c r="S13" s="120" t="e">
        <v>#DIV/0!</v>
      </c>
      <c r="T13" s="148">
        <f>N163</f>
        <v/>
      </c>
      <c r="U13" s="149" t="n"/>
      <c r="V13" s="381">
        <f>H187</f>
        <v/>
      </c>
      <c r="W13" s="382">
        <f>I187</f>
        <v/>
      </c>
      <c r="X13" s="382">
        <f>J187</f>
        <v/>
      </c>
      <c r="Y13" s="382">
        <f>K187</f>
        <v/>
      </c>
      <c r="Z13" s="382">
        <f>L187</f>
        <v/>
      </c>
      <c r="AA13" s="119">
        <f>AB13*$C$17</f>
        <v/>
      </c>
      <c r="AB13" s="120" t="e">
        <v>#DIV/0!</v>
      </c>
      <c r="AC13" s="146">
        <f>N187</f>
        <v/>
      </c>
      <c r="AD13" s="147" t="n"/>
      <c r="AE13" s="382">
        <f>H211</f>
        <v/>
      </c>
      <c r="AF13" s="382">
        <f>I211</f>
        <v/>
      </c>
      <c r="AG13" s="382">
        <f>J211</f>
        <v/>
      </c>
      <c r="AH13" s="382">
        <f>K211</f>
        <v/>
      </c>
      <c r="AI13" s="382">
        <f>L211</f>
        <v/>
      </c>
      <c r="AJ13" s="119">
        <f>AK13*$C$17</f>
        <v/>
      </c>
      <c r="AK13" s="120" t="e">
        <v>#DIV/0!</v>
      </c>
      <c r="AL13" s="148">
        <f>N211</f>
        <v/>
      </c>
      <c r="AM13" s="149" t="n"/>
      <c r="AN13" s="381">
        <f>H235</f>
        <v/>
      </c>
      <c r="AO13" s="382">
        <f>I235</f>
        <v/>
      </c>
      <c r="AP13" s="382">
        <f>J235</f>
        <v/>
      </c>
      <c r="AQ13" s="382">
        <f>K235</f>
        <v/>
      </c>
      <c r="AR13" s="382">
        <f>L235</f>
        <v/>
      </c>
      <c r="AS13" s="119">
        <f>AT13*$C$17</f>
        <v/>
      </c>
      <c r="AT13" s="120" t="e">
        <v>#DIV/0!</v>
      </c>
      <c r="AU13" s="146">
        <f>N235</f>
        <v/>
      </c>
      <c r="AV13" s="3" t="n"/>
      <c r="AW13" s="3" t="n"/>
      <c r="AX13" s="384" t="n"/>
      <c r="AY13" s="384" t="n"/>
      <c r="AZ13" s="384" t="n"/>
      <c r="BA13" s="384" t="n"/>
      <c r="BB13" s="384" t="n"/>
      <c r="CA13" s="6" t="inlineStr">
        <is>
          <t>Treinamento / Manual</t>
        </is>
      </c>
    </row>
    <row r="14" ht="29.65" customHeight="1">
      <c r="A14" s="385" t="n"/>
      <c r="B14" s="124" t="inlineStr">
        <is>
          <t>Workflow</t>
        </is>
      </c>
      <c r="C14" s="386" t="n"/>
      <c r="D14" s="387">
        <f>H140</f>
        <v/>
      </c>
      <c r="E14" s="388">
        <f>I140</f>
        <v/>
      </c>
      <c r="F14" s="388">
        <f>J140</f>
        <v/>
      </c>
      <c r="G14" s="388">
        <f>K140</f>
        <v/>
      </c>
      <c r="H14" s="388">
        <f>L140</f>
        <v/>
      </c>
      <c r="I14" s="128">
        <f>J14*$C$17</f>
        <v/>
      </c>
      <c r="J14" s="129" t="e">
        <v>#DIV/0!</v>
      </c>
      <c r="K14" s="150">
        <f>N140</f>
        <v/>
      </c>
      <c r="L14" s="135" t="n"/>
      <c r="M14" s="388">
        <f>H164</f>
        <v/>
      </c>
      <c r="N14" s="388">
        <f>I164</f>
        <v/>
      </c>
      <c r="O14" s="388">
        <f>J164</f>
        <v/>
      </c>
      <c r="P14" s="388">
        <f>K164</f>
        <v/>
      </c>
      <c r="Q14" s="388">
        <f>L164</f>
        <v/>
      </c>
      <c r="R14" s="128">
        <f>S14*$C$17</f>
        <v/>
      </c>
      <c r="S14" s="129" t="e">
        <v>#DIV/0!</v>
      </c>
      <c r="T14" s="151">
        <f>N164</f>
        <v/>
      </c>
      <c r="U14" s="133" t="n"/>
      <c r="V14" s="387">
        <f>H188</f>
        <v/>
      </c>
      <c r="W14" s="388">
        <f>I188</f>
        <v/>
      </c>
      <c r="X14" s="388">
        <f>J188</f>
        <v/>
      </c>
      <c r="Y14" s="388">
        <f>K188</f>
        <v/>
      </c>
      <c r="Z14" s="388">
        <f>L188</f>
        <v/>
      </c>
      <c r="AA14" s="128">
        <f>AB14*$C$17</f>
        <v/>
      </c>
      <c r="AB14" s="129" t="e">
        <v>#DIV/0!</v>
      </c>
      <c r="AC14" s="150">
        <f>N188</f>
        <v/>
      </c>
      <c r="AD14" s="135" t="n"/>
      <c r="AE14" s="388">
        <f>H212</f>
        <v/>
      </c>
      <c r="AF14" s="388">
        <f>I212</f>
        <v/>
      </c>
      <c r="AG14" s="388">
        <f>J212</f>
        <v/>
      </c>
      <c r="AH14" s="388">
        <f>K212</f>
        <v/>
      </c>
      <c r="AI14" s="388">
        <f>L212</f>
        <v/>
      </c>
      <c r="AJ14" s="128">
        <f>AK14*$C$17</f>
        <v/>
      </c>
      <c r="AK14" s="129" t="e">
        <v>#DIV/0!</v>
      </c>
      <c r="AL14" s="151">
        <f>N212</f>
        <v/>
      </c>
      <c r="AM14" s="133" t="n"/>
      <c r="AN14" s="387">
        <f>H236</f>
        <v/>
      </c>
      <c r="AO14" s="388">
        <f>I236</f>
        <v/>
      </c>
      <c r="AP14" s="388">
        <f>J236</f>
        <v/>
      </c>
      <c r="AQ14" s="388">
        <f>K236</f>
        <v/>
      </c>
      <c r="AR14" s="388">
        <f>L236</f>
        <v/>
      </c>
      <c r="AS14" s="128">
        <f>AT14*$C$17</f>
        <v/>
      </c>
      <c r="AT14" s="129" t="e">
        <v>#DIV/0!</v>
      </c>
      <c r="AU14" s="150">
        <f>N236</f>
        <v/>
      </c>
      <c r="AV14" s="3" t="n"/>
      <c r="AW14" s="3" t="n"/>
      <c r="AX14" s="384" t="n"/>
      <c r="AY14" s="384" t="n"/>
      <c r="AZ14" s="384" t="n"/>
      <c r="BA14" s="384" t="n"/>
      <c r="BB14" s="384" t="n"/>
      <c r="CA14" s="6" t="inlineStr">
        <is>
          <t>Formulário (Web / Windows Forms) - DOC</t>
        </is>
      </c>
    </row>
    <row r="15" ht="29.65" customHeight="1" thickBot="1">
      <c r="A15" s="392" t="n"/>
      <c r="B15" s="136" t="inlineStr">
        <is>
          <t>Estrutura</t>
        </is>
      </c>
      <c r="C15" s="393" t="n"/>
      <c r="D15" s="394">
        <f>H141</f>
        <v/>
      </c>
      <c r="E15" s="395">
        <f>I141</f>
        <v/>
      </c>
      <c r="F15" s="395">
        <f>J141</f>
        <v/>
      </c>
      <c r="G15" s="395">
        <f>K141</f>
        <v/>
      </c>
      <c r="H15" s="395">
        <f>L141</f>
        <v/>
      </c>
      <c r="I15" s="179">
        <f>J15*$C$17</f>
        <v/>
      </c>
      <c r="J15" s="180" t="e">
        <v>#DIV/0!</v>
      </c>
      <c r="K15" s="177">
        <f>N141</f>
        <v/>
      </c>
      <c r="L15" s="396" t="n"/>
      <c r="M15" s="395">
        <f>H165</f>
        <v/>
      </c>
      <c r="N15" s="395">
        <f>I165</f>
        <v/>
      </c>
      <c r="O15" s="395">
        <f>J165</f>
        <v/>
      </c>
      <c r="P15" s="395">
        <f>K165</f>
        <v/>
      </c>
      <c r="Q15" s="395">
        <f>L165</f>
        <v/>
      </c>
      <c r="R15" s="179">
        <f>S15*$C$17</f>
        <v/>
      </c>
      <c r="S15" s="180" t="e">
        <v>#DIV/0!</v>
      </c>
      <c r="T15" s="181">
        <f>N165</f>
        <v/>
      </c>
      <c r="U15" s="393" t="n"/>
      <c r="V15" s="394">
        <f>H189</f>
        <v/>
      </c>
      <c r="W15" s="395">
        <f>I189</f>
        <v/>
      </c>
      <c r="X15" s="395">
        <f>J189</f>
        <v/>
      </c>
      <c r="Y15" s="395">
        <f>K189</f>
        <v/>
      </c>
      <c r="Z15" s="395">
        <f>L189</f>
        <v/>
      </c>
      <c r="AA15" s="179">
        <f>AB15*$C$17</f>
        <v/>
      </c>
      <c r="AB15" s="180" t="e">
        <v>#DIV/0!</v>
      </c>
      <c r="AC15" s="177">
        <f>N189</f>
        <v/>
      </c>
      <c r="AD15" s="396" t="n"/>
      <c r="AE15" s="395">
        <f>H213</f>
        <v/>
      </c>
      <c r="AF15" s="395">
        <f>I213</f>
        <v/>
      </c>
      <c r="AG15" s="395">
        <f>J213</f>
        <v/>
      </c>
      <c r="AH15" s="395">
        <f>K213</f>
        <v/>
      </c>
      <c r="AI15" s="395">
        <f>L213</f>
        <v/>
      </c>
      <c r="AJ15" s="179">
        <f>AK15*$C$17</f>
        <v/>
      </c>
      <c r="AK15" s="180" t="e">
        <v>#DIV/0!</v>
      </c>
      <c r="AL15" s="181">
        <f>N213</f>
        <v/>
      </c>
      <c r="AM15" s="393" t="n"/>
      <c r="AN15" s="394">
        <f>H237</f>
        <v/>
      </c>
      <c r="AO15" s="395">
        <f>I237</f>
        <v/>
      </c>
      <c r="AP15" s="395">
        <f>J237</f>
        <v/>
      </c>
      <c r="AQ15" s="395">
        <f>K237</f>
        <v/>
      </c>
      <c r="AR15" s="395">
        <f>L237</f>
        <v/>
      </c>
      <c r="AS15" s="179">
        <f>AT15*$C$17</f>
        <v/>
      </c>
      <c r="AT15" s="180" t="e">
        <v>#DIV/0!</v>
      </c>
      <c r="AU15" s="177">
        <f>N237</f>
        <v/>
      </c>
      <c r="AV15" s="3" t="n"/>
      <c r="AW15" s="3" t="n"/>
      <c r="AX15" s="384" t="n"/>
      <c r="AY15" s="384" t="n"/>
      <c r="AZ15" s="384" t="n"/>
      <c r="BA15" s="384" t="n"/>
      <c r="BB15" s="384" t="n"/>
      <c r="CA15" s="6" t="inlineStr">
        <is>
          <t>Formulário (MVC / Angular) - DOC</t>
        </is>
      </c>
    </row>
    <row r="16" customFormat="1" s="1">
      <c r="BC16" s="2" t="n"/>
      <c r="BD16" s="2" t="n"/>
      <c r="BE16" s="2" t="n"/>
      <c r="BF16" s="2" t="n"/>
      <c r="BG16" s="2" t="n"/>
      <c r="BH16" s="2" t="n"/>
      <c r="BI16" s="2" t="n"/>
      <c r="BJ16" s="2" t="n"/>
      <c r="BK16" s="2" t="n"/>
      <c r="BL16" s="2" t="n"/>
      <c r="BM16" s="2" t="n"/>
      <c r="BN16" s="2" t="n"/>
      <c r="BO16" s="2" t="n"/>
      <c r="BP16" s="2" t="n"/>
      <c r="BQ16" s="2" t="n"/>
      <c r="BR16" s="2" t="n"/>
      <c r="BS16" s="2" t="n"/>
      <c r="BT16" s="2" t="n"/>
      <c r="BU16" s="2" t="n"/>
      <c r="BV16" s="2" t="n"/>
      <c r="BW16" s="2" t="n"/>
      <c r="BX16" s="2" t="n"/>
      <c r="BY16" s="2" t="n"/>
      <c r="BZ16" s="2" t="n"/>
      <c r="CA16" s="2" t="n"/>
    </row>
    <row r="17" ht="12" customFormat="1" customHeight="1" s="1">
      <c r="BC17" s="2" t="n"/>
      <c r="BD17" s="2" t="n"/>
      <c r="BE17" s="2" t="n"/>
      <c r="BF17" s="2" t="n"/>
      <c r="BG17" s="2" t="n"/>
      <c r="BH17" s="2" t="n"/>
      <c r="BI17" s="2" t="n"/>
      <c r="BJ17" s="2" t="n"/>
      <c r="BK17" s="2" t="n"/>
      <c r="BL17" s="2" t="n"/>
      <c r="BM17" s="2" t="n"/>
      <c r="BN17" s="2" t="n"/>
      <c r="BO17" s="2" t="n"/>
      <c r="BP17" s="2" t="n"/>
      <c r="BQ17" s="2" t="n"/>
      <c r="BR17" s="2" t="n"/>
      <c r="BS17" s="2" t="n"/>
      <c r="BT17" s="2" t="n"/>
      <c r="BU17" s="2" t="n"/>
      <c r="BV17" s="2" t="n"/>
      <c r="BW17" s="2" t="n"/>
      <c r="BX17" s="2" t="n"/>
      <c r="BY17" s="2" t="n"/>
      <c r="BZ17" s="2" t="n"/>
      <c r="CA17" s="2" t="n"/>
    </row>
    <row r="18" ht="15.75" customFormat="1" customHeight="1" s="1">
      <c r="BC18" s="2" t="n"/>
      <c r="BD18" s="2" t="n"/>
      <c r="BE18" s="2" t="n"/>
      <c r="BF18" s="2" t="n"/>
      <c r="BG18" s="2" t="n"/>
      <c r="BH18" s="2" t="n"/>
      <c r="BI18" s="2" t="n"/>
      <c r="BJ18" s="2" t="n"/>
      <c r="BK18" s="2" t="n"/>
      <c r="BL18" s="2" t="n"/>
      <c r="BM18" s="2" t="n"/>
      <c r="BN18" s="2" t="n"/>
      <c r="BO18" s="2" t="n"/>
      <c r="BP18" s="2" t="n"/>
      <c r="BQ18" s="2" t="n"/>
      <c r="BR18" s="2" t="n"/>
      <c r="BS18" s="2" t="n"/>
      <c r="BT18" s="2" t="n"/>
      <c r="BU18" s="2" t="n"/>
      <c r="BV18" s="2" t="n"/>
      <c r="BW18" s="2" t="n"/>
      <c r="BX18" s="2" t="n"/>
      <c r="BY18" s="2" t="n"/>
      <c r="BZ18" s="2" t="n"/>
      <c r="CA18" s="2" t="n"/>
    </row>
    <row r="19" ht="7.5" customFormat="1" customHeight="1" s="1">
      <c r="BC19" s="2" t="n"/>
      <c r="BD19" s="2" t="n"/>
      <c r="BE19" s="2" t="n"/>
      <c r="BF19" s="2" t="n"/>
      <c r="BG19" s="2" t="n"/>
      <c r="BH19" s="2" t="n"/>
      <c r="BI19" s="2" t="n"/>
      <c r="BJ19" s="2" t="n"/>
      <c r="BK19" s="2" t="n"/>
      <c r="BL19" s="2" t="n"/>
      <c r="BM19" s="2" t="n"/>
      <c r="BN19" s="2" t="n"/>
      <c r="BO19" s="2" t="n"/>
      <c r="BP19" s="2" t="n"/>
      <c r="BQ19" s="2" t="n"/>
      <c r="BR19" s="2" t="n"/>
      <c r="BS19" s="2" t="n"/>
      <c r="BT19" s="2" t="n"/>
      <c r="BU19" s="2" t="n"/>
      <c r="BV19" s="2" t="n"/>
      <c r="BW19" s="2" t="n"/>
      <c r="BX19" s="2" t="n"/>
      <c r="BY19" s="2" t="n"/>
      <c r="BZ19" s="2" t="n"/>
      <c r="CA19" s="2" t="n"/>
    </row>
    <row r="20" customFormat="1" s="1">
      <c r="BC20" s="2" t="n"/>
      <c r="BD20" s="2" t="n"/>
      <c r="BE20" s="2" t="n"/>
      <c r="BF20" s="2" t="n"/>
      <c r="BG20" s="2" t="n"/>
      <c r="BH20" s="2" t="n"/>
      <c r="BI20" s="2" t="n"/>
      <c r="BJ20" s="2" t="n"/>
      <c r="BK20" s="2" t="n"/>
      <c r="BL20" s="2" t="n"/>
      <c r="BM20" s="2" t="n"/>
      <c r="BN20" s="2" t="n"/>
      <c r="BO20" s="2" t="n"/>
      <c r="BP20" s="2" t="n"/>
      <c r="BQ20" s="2" t="n"/>
      <c r="BR20" s="2" t="n"/>
      <c r="BS20" s="2" t="n"/>
      <c r="BT20" s="2" t="n"/>
      <c r="BU20" s="2" t="n"/>
      <c r="BV20" s="2" t="n"/>
      <c r="BW20" s="2" t="n"/>
      <c r="BX20" s="2" t="n"/>
      <c r="BY20" s="2" t="n"/>
      <c r="BZ20" s="2" t="n"/>
      <c r="CA20" s="2" t="n"/>
    </row>
    <row r="21" hidden="1" customFormat="1" s="1">
      <c r="BC21" s="2" t="n"/>
      <c r="BD21" s="2" t="n"/>
      <c r="BE21" s="2" t="n"/>
      <c r="BF21" s="2" t="n"/>
      <c r="BG21" s="2" t="n"/>
      <c r="BH21" s="2" t="n"/>
      <c r="BI21" s="2" t="n"/>
      <c r="BJ21" s="2" t="n"/>
      <c r="BK21" s="2" t="n"/>
      <c r="BL21" s="2" t="n"/>
      <c r="BM21" s="2" t="n"/>
      <c r="BN21" s="2" t="n"/>
      <c r="BO21" s="2" t="n"/>
      <c r="BP21" s="2" t="n"/>
      <c r="BQ21" s="2" t="n"/>
      <c r="BR21" s="2" t="n"/>
      <c r="BS21" s="2" t="n"/>
      <c r="BT21" s="2" t="n"/>
      <c r="BU21" s="2" t="n"/>
      <c r="BV21" s="2" t="n"/>
      <c r="BW21" s="2" t="n"/>
      <c r="BX21" s="2" t="n"/>
      <c r="BY21" s="2" t="n"/>
      <c r="BZ21" s="2" t="n"/>
      <c r="CA21" s="2" t="n"/>
    </row>
    <row r="22" hidden="1" customFormat="1" s="1">
      <c r="BC22" s="2" t="n"/>
      <c r="BD22" s="2" t="n"/>
      <c r="BE22" s="2" t="n"/>
      <c r="BF22" s="2" t="n"/>
      <c r="BG22" s="2" t="n"/>
      <c r="BH22" s="2" t="n"/>
      <c r="BI22" s="2" t="n"/>
      <c r="BJ22" s="2" t="n"/>
      <c r="BK22" s="2" t="n"/>
      <c r="BL22" s="2" t="n"/>
      <c r="BM22" s="2" t="n"/>
      <c r="BN22" s="2" t="n"/>
      <c r="BO22" s="2" t="n"/>
      <c r="BP22" s="2" t="n"/>
      <c r="BQ22" s="2" t="n"/>
      <c r="BR22" s="2" t="n"/>
      <c r="BS22" s="2" t="n"/>
      <c r="BT22" s="2" t="n"/>
      <c r="BU22" s="2" t="n"/>
      <c r="BV22" s="2" t="n"/>
      <c r="BW22" s="2" t="n"/>
      <c r="BX22" s="2" t="n"/>
      <c r="BY22" s="2" t="n"/>
      <c r="BZ22" s="2" t="n"/>
      <c r="CA22" s="2" t="n"/>
    </row>
    <row r="23" hidden="1" customFormat="1" s="1">
      <c r="BC23" s="2" t="n"/>
      <c r="BD23" s="2" t="n"/>
      <c r="BE23" s="2" t="n"/>
      <c r="BF23" s="2" t="n"/>
      <c r="BG23" s="2" t="n"/>
      <c r="BH23" s="2" t="n"/>
      <c r="BI23" s="2" t="n"/>
      <c r="BJ23" s="2" t="n"/>
      <c r="BK23" s="2" t="n"/>
      <c r="BL23" s="2" t="n"/>
      <c r="BM23" s="2" t="n"/>
      <c r="BN23" s="2" t="n"/>
      <c r="BO23" s="2" t="n"/>
      <c r="BP23" s="2" t="n"/>
      <c r="BQ23" s="2" t="n"/>
      <c r="BR23" s="2" t="n"/>
      <c r="BS23" s="2" t="n"/>
      <c r="BT23" s="2" t="n"/>
      <c r="BU23" s="2" t="n"/>
      <c r="BV23" s="2" t="n"/>
      <c r="BW23" s="2" t="n"/>
      <c r="BX23" s="2" t="n"/>
      <c r="BY23" s="2" t="n"/>
      <c r="BZ23" s="2" t="n"/>
      <c r="CA23" s="2" t="n"/>
    </row>
    <row r="24" hidden="1" customFormat="1" s="1">
      <c r="BC24" s="2" t="n"/>
      <c r="BD24" s="2" t="n"/>
      <c r="BE24" s="2" t="n"/>
      <c r="BF24" s="2" t="n"/>
      <c r="BG24" s="2" t="n"/>
      <c r="BH24" s="2" t="n"/>
      <c r="BI24" s="2" t="n"/>
      <c r="BJ24" s="2" t="n"/>
      <c r="BK24" s="2" t="n"/>
      <c r="BL24" s="2" t="n"/>
      <c r="BM24" s="2" t="n"/>
      <c r="BN24" s="2" t="n"/>
      <c r="BO24" s="2" t="n"/>
      <c r="BP24" s="2" t="n"/>
      <c r="BQ24" s="2" t="n"/>
      <c r="BR24" s="2" t="n"/>
      <c r="BS24" s="2" t="n"/>
      <c r="BT24" s="2" t="n"/>
      <c r="BU24" s="2" t="n"/>
      <c r="BV24" s="2" t="n"/>
      <c r="BW24" s="2" t="n"/>
      <c r="BX24" s="2" t="n"/>
      <c r="BY24" s="2" t="n"/>
      <c r="BZ24" s="2" t="n"/>
      <c r="CA24" s="2" t="n"/>
    </row>
    <row r="25" hidden="1" customFormat="1" s="1">
      <c r="BC25" s="2" t="n"/>
      <c r="BD25" s="2" t="n"/>
      <c r="BE25" s="2" t="n"/>
      <c r="BF25" s="2" t="n"/>
      <c r="BG25" s="2" t="n"/>
      <c r="BH25" s="2" t="n"/>
      <c r="BI25" s="2" t="n"/>
      <c r="BJ25" s="2" t="n"/>
      <c r="BK25" s="2" t="n"/>
      <c r="BL25" s="2" t="n"/>
      <c r="BM25" s="2" t="n"/>
      <c r="BN25" s="2" t="n"/>
      <c r="BO25" s="2" t="n"/>
      <c r="BP25" s="2" t="n"/>
      <c r="BQ25" s="2" t="n"/>
      <c r="BR25" s="2" t="n"/>
      <c r="BS25" s="2" t="n"/>
      <c r="BT25" s="2" t="n"/>
      <c r="BU25" s="2" t="n"/>
      <c r="BV25" s="2" t="n"/>
      <c r="BW25" s="2" t="n"/>
      <c r="BX25" s="2" t="n"/>
      <c r="BY25" s="2" t="n"/>
      <c r="BZ25" s="2" t="n"/>
      <c r="CA25" s="2" t="n"/>
    </row>
    <row r="26" hidden="1" customFormat="1" s="1">
      <c r="BC26" s="2" t="n"/>
      <c r="BD26" s="2" t="n"/>
      <c r="BE26" s="2" t="n"/>
      <c r="BF26" s="2" t="n"/>
      <c r="BG26" s="2" t="n"/>
      <c r="BH26" s="2" t="n"/>
      <c r="BI26" s="2" t="n"/>
      <c r="BJ26" s="2" t="n"/>
      <c r="BK26" s="2" t="n"/>
      <c r="BL26" s="2" t="n"/>
      <c r="BM26" s="2" t="n"/>
      <c r="BN26" s="2" t="n"/>
      <c r="BO26" s="2" t="n"/>
      <c r="BP26" s="2" t="n"/>
      <c r="BQ26" s="2" t="n"/>
      <c r="BR26" s="2" t="n"/>
      <c r="BS26" s="2" t="n"/>
      <c r="BT26" s="2" t="n"/>
      <c r="BU26" s="2" t="n"/>
      <c r="BV26" s="2" t="n"/>
      <c r="BW26" s="2" t="n"/>
      <c r="BX26" s="2" t="n"/>
      <c r="BY26" s="2" t="n"/>
      <c r="BZ26" s="2" t="n"/>
      <c r="CA26" s="2" t="n"/>
    </row>
    <row r="27" hidden="1" customFormat="1" s="1">
      <c r="BC27" s="2" t="n"/>
      <c r="BD27" s="2" t="n"/>
      <c r="BE27" s="2" t="n"/>
      <c r="BF27" s="2" t="n"/>
      <c r="BG27" s="2" t="n"/>
      <c r="BH27" s="2" t="n"/>
      <c r="BI27" s="2" t="n"/>
      <c r="BJ27" s="2" t="n"/>
      <c r="BK27" s="2" t="n"/>
      <c r="BL27" s="2" t="n"/>
      <c r="BM27" s="2" t="n"/>
      <c r="BN27" s="2" t="n"/>
      <c r="BO27" s="2" t="n"/>
      <c r="BP27" s="2" t="n"/>
      <c r="BQ27" s="2" t="n"/>
      <c r="BR27" s="2" t="n"/>
      <c r="BS27" s="2" t="n"/>
      <c r="BT27" s="2" t="n"/>
      <c r="BU27" s="2" t="n"/>
      <c r="BV27" s="2" t="n"/>
      <c r="BW27" s="2" t="n"/>
      <c r="BX27" s="2" t="n"/>
      <c r="BY27" s="2" t="n"/>
      <c r="BZ27" s="2" t="n"/>
      <c r="CA27" s="2" t="n"/>
    </row>
    <row r="28" hidden="1" customFormat="1" s="1">
      <c r="BC28" s="2" t="n"/>
      <c r="BD28" s="2" t="n"/>
      <c r="BE28" s="2" t="n"/>
      <c r="BF28" s="2" t="n"/>
      <c r="BG28" s="2" t="n"/>
      <c r="BH28" s="2" t="n"/>
      <c r="BI28" s="2" t="n"/>
      <c r="BJ28" s="2" t="n"/>
      <c r="BK28" s="2" t="n"/>
      <c r="BL28" s="2" t="n"/>
      <c r="BM28" s="2" t="n"/>
      <c r="BN28" s="2" t="n"/>
      <c r="BO28" s="2" t="n"/>
      <c r="BP28" s="2" t="n"/>
      <c r="BQ28" s="2" t="n"/>
      <c r="BR28" s="2" t="n"/>
      <c r="BS28" s="2" t="n"/>
      <c r="BT28" s="2" t="n"/>
      <c r="BU28" s="2" t="n"/>
      <c r="BV28" s="2" t="n"/>
      <c r="BW28" s="2" t="n"/>
      <c r="BX28" s="2" t="n"/>
      <c r="BY28" s="2" t="n"/>
      <c r="BZ28" s="2" t="n"/>
      <c r="CA28" s="2" t="n"/>
    </row>
    <row r="29" hidden="1" customFormat="1" s="1">
      <c r="B29" s="12" t="inlineStr">
        <is>
          <t>Tabelas auxiliares</t>
        </is>
      </c>
      <c r="C29" s="12" t="n"/>
      <c r="BC29" s="2" t="n"/>
      <c r="BD29" s="2" t="n"/>
      <c r="BE29" s="2" t="n"/>
      <c r="BF29" s="2" t="n"/>
      <c r="BG29" s="2" t="n"/>
      <c r="BH29" s="2" t="n"/>
      <c r="BI29" s="2" t="n"/>
      <c r="BJ29" s="2" t="n"/>
      <c r="BK29" s="2" t="n"/>
      <c r="BL29" s="2" t="n"/>
      <c r="BM29" s="2" t="n"/>
      <c r="BN29" s="2" t="n"/>
      <c r="BO29" s="2" t="n"/>
      <c r="BP29" s="2" t="n"/>
      <c r="BQ29" s="2" t="n"/>
      <c r="BR29" s="2" t="n"/>
      <c r="BS29" s="2" t="n"/>
      <c r="BT29" s="2" t="n"/>
      <c r="BU29" s="2" t="n"/>
      <c r="BV29" s="2" t="n"/>
      <c r="BW29" s="2" t="n"/>
      <c r="BX29" s="2" t="n"/>
      <c r="BY29" s="2" t="n"/>
      <c r="BZ29" s="2" t="n"/>
      <c r="CA29" s="2" t="n"/>
    </row>
    <row r="30" hidden="1" customFormat="1" s="1">
      <c r="B30" s="13">
        <f>C6</f>
        <v/>
      </c>
      <c r="C30" s="12" t="inlineStr">
        <is>
          <t>K</t>
        </is>
      </c>
      <c r="BC30" s="2" t="n"/>
      <c r="BD30" s="2" t="n"/>
      <c r="BE30" s="2" t="n"/>
      <c r="BF30" s="2" t="n"/>
      <c r="BG30" s="2" t="n"/>
      <c r="BH30" s="2" t="n"/>
      <c r="BI30" s="2" t="n"/>
      <c r="BJ30" s="2" t="n"/>
      <c r="BK30" s="2" t="n"/>
      <c r="BL30" s="2" t="n"/>
      <c r="BM30" s="2" t="n"/>
      <c r="BN30" s="2" t="n"/>
      <c r="BO30" s="2" t="n"/>
      <c r="BP30" s="2" t="n"/>
      <c r="BQ30" s="2" t="n"/>
      <c r="BR30" s="2" t="n"/>
      <c r="BS30" s="2" t="n"/>
      <c r="BT30" s="2" t="n"/>
      <c r="BU30" s="2" t="n"/>
      <c r="BV30" s="2" t="n"/>
      <c r="BW30" s="2" t="n"/>
      <c r="BX30" s="2" t="n"/>
      <c r="BY30" s="2" t="n"/>
      <c r="BZ30" s="2" t="n"/>
      <c r="CA30" s="2" t="n"/>
    </row>
    <row r="31" hidden="1" customFormat="1" s="1">
      <c r="B31" s="13">
        <f>L6</f>
        <v/>
      </c>
      <c r="C31" s="12" t="inlineStr">
        <is>
          <t>T</t>
        </is>
      </c>
      <c r="BC31" s="2" t="n"/>
      <c r="BD31" s="2" t="n"/>
      <c r="BE31" s="2" t="n"/>
      <c r="BF31" s="2" t="n"/>
      <c r="BG31" s="2" t="n"/>
      <c r="BH31" s="2" t="n"/>
      <c r="BI31" s="2" t="n"/>
      <c r="BJ31" s="2" t="n"/>
      <c r="BK31" s="2" t="n"/>
      <c r="BL31" s="2" t="n"/>
      <c r="BM31" s="2" t="n"/>
      <c r="BN31" s="2" t="n"/>
      <c r="BO31" s="2" t="n"/>
      <c r="BP31" s="2" t="n"/>
      <c r="BQ31" s="2" t="n"/>
      <c r="BR31" s="2" t="n"/>
      <c r="BS31" s="2" t="n"/>
      <c r="BT31" s="2" t="n"/>
      <c r="BU31" s="2" t="n"/>
      <c r="BV31" s="2" t="n"/>
      <c r="BW31" s="2" t="n"/>
      <c r="BX31" s="2" t="n"/>
      <c r="BY31" s="2" t="n"/>
      <c r="BZ31" s="2" t="n"/>
      <c r="CA31" s="2" t="n"/>
    </row>
    <row r="32" hidden="1" customFormat="1" s="1">
      <c r="B32" s="13">
        <f>U6</f>
        <v/>
      </c>
      <c r="C32" s="12" t="inlineStr">
        <is>
          <t>AC</t>
        </is>
      </c>
      <c r="BC32" s="2" t="n"/>
      <c r="BD32" s="2" t="n"/>
      <c r="BE32" s="2" t="n"/>
      <c r="BF32" s="2" t="n"/>
      <c r="BG32" s="2" t="n"/>
      <c r="BH32" s="2" t="n"/>
      <c r="BI32" s="2" t="n"/>
      <c r="BJ32" s="2" t="n"/>
      <c r="BK32" s="2" t="n"/>
      <c r="BL32" s="2" t="n"/>
      <c r="BM32" s="2" t="n"/>
      <c r="BN32" s="2" t="n"/>
      <c r="BO32" s="2" t="n"/>
      <c r="BP32" s="2" t="n"/>
      <c r="BQ32" s="2" t="n"/>
      <c r="BR32" s="2" t="n"/>
      <c r="BS32" s="2" t="n"/>
      <c r="BT32" s="2" t="n"/>
      <c r="BU32" s="2" t="n"/>
      <c r="BV32" s="2" t="n"/>
      <c r="BW32" s="2" t="n"/>
      <c r="BX32" s="2" t="n"/>
      <c r="BY32" s="2" t="n"/>
      <c r="BZ32" s="2" t="n"/>
      <c r="CA32" s="2" t="n"/>
    </row>
    <row r="33" hidden="1" ht="13.9" customFormat="1" customHeight="1" s="1" thickBot="1">
      <c r="B33" s="13">
        <f>AD6</f>
        <v/>
      </c>
      <c r="C33" s="12" t="inlineStr">
        <is>
          <t>AL</t>
        </is>
      </c>
      <c r="BC33" s="2" t="n"/>
      <c r="BD33" s="2" t="n"/>
      <c r="BE33" s="2" t="n"/>
      <c r="BF33" s="2" t="n"/>
      <c r="BG33" s="2" t="n"/>
      <c r="BH33" s="2" t="n"/>
      <c r="BI33" s="2" t="n"/>
      <c r="BJ33" s="2" t="n"/>
      <c r="BK33" s="2" t="n"/>
      <c r="BL33" s="2" t="n"/>
      <c r="BM33" s="2" t="n"/>
      <c r="BN33" s="2" t="n"/>
      <c r="BO33" s="2" t="n"/>
      <c r="BP33" s="2" t="n"/>
      <c r="BQ33" s="2" t="n"/>
      <c r="BR33" s="2" t="n"/>
      <c r="BS33" s="2" t="n"/>
      <c r="BT33" s="2" t="n"/>
      <c r="BU33" s="2" t="n"/>
      <c r="BV33" s="2" t="n"/>
      <c r="BW33" s="2" t="n"/>
      <c r="BX33" s="2" t="n"/>
      <c r="BY33" s="2" t="n"/>
      <c r="BZ33" s="2" t="n"/>
      <c r="CA33" s="2" t="n"/>
    </row>
    <row r="34" hidden="1" ht="13.9" customFormat="1" customHeight="1" s="1" thickBot="1">
      <c r="B34" s="14" t="inlineStr">
        <is>
          <t>Elemento</t>
        </is>
      </c>
      <c r="C34" s="15" t="n"/>
      <c r="D34" s="285" t="inlineStr">
        <is>
          <t>Muito Baixa</t>
        </is>
      </c>
      <c r="E34" s="397" t="n"/>
      <c r="F34" s="397" t="n"/>
      <c r="G34" s="397" t="n"/>
      <c r="H34" s="397" t="n"/>
      <c r="I34" s="397" t="n"/>
      <c r="J34" s="397" t="n"/>
      <c r="K34" s="397" t="n"/>
      <c r="L34" s="398" t="inlineStr">
        <is>
          <t>Baixa</t>
        </is>
      </c>
      <c r="M34" s="397" t="n"/>
      <c r="N34" s="397" t="n"/>
      <c r="O34" s="397" t="n"/>
      <c r="P34" s="397" t="n"/>
      <c r="Q34" s="397" t="n"/>
      <c r="R34" s="397" t="n"/>
      <c r="S34" s="397" t="n"/>
      <c r="T34" s="399" t="n"/>
      <c r="U34" s="398" t="inlineStr">
        <is>
          <t>Média</t>
        </is>
      </c>
      <c r="V34" s="397" t="n"/>
      <c r="W34" s="397" t="n"/>
      <c r="X34" s="397" t="n"/>
      <c r="Y34" s="397" t="n"/>
      <c r="Z34" s="397" t="n"/>
      <c r="AA34" s="397" t="n"/>
      <c r="AB34" s="397" t="n"/>
      <c r="AC34" s="399" t="n"/>
      <c r="AD34" s="398" t="inlineStr">
        <is>
          <t>Alta</t>
        </is>
      </c>
      <c r="AE34" s="397" t="n"/>
      <c r="AF34" s="397" t="n"/>
      <c r="AG34" s="397" t="n"/>
      <c r="AH34" s="397" t="n"/>
      <c r="AI34" s="397" t="n"/>
      <c r="AJ34" s="397" t="n"/>
      <c r="AK34" s="397" t="n"/>
      <c r="AL34" s="399" t="n"/>
      <c r="AM34" s="400" t="inlineStr">
        <is>
          <t>Muito Alta</t>
        </is>
      </c>
      <c r="AN34" s="397" t="n"/>
      <c r="AO34" s="397" t="n"/>
      <c r="AP34" s="397" t="n"/>
      <c r="AQ34" s="397" t="n"/>
      <c r="AR34" s="397" t="n"/>
      <c r="AS34" s="397" t="n"/>
      <c r="AT34" s="397" t="n"/>
      <c r="AU34" s="401" t="n"/>
      <c r="BC34" s="2" t="n"/>
      <c r="BD34" s="2" t="n"/>
      <c r="BE34" s="2" t="n"/>
      <c r="BF34" s="2" t="n"/>
      <c r="BG34" s="2" t="n"/>
      <c r="BH34" s="2" t="n"/>
      <c r="BI34" s="2" t="n"/>
      <c r="BJ34" s="2" t="n"/>
      <c r="BK34" s="2" t="n"/>
      <c r="BL34" s="2" t="n"/>
      <c r="BM34" s="2" t="n"/>
      <c r="BN34" s="2" t="n"/>
      <c r="BO34" s="2" t="n"/>
      <c r="BP34" s="2" t="n"/>
      <c r="BQ34" s="2" t="n"/>
      <c r="BR34" s="2" t="n"/>
      <c r="BS34" s="2" t="n"/>
      <c r="BT34" s="2" t="n"/>
      <c r="BU34" s="2" t="n"/>
      <c r="BV34" s="2" t="n"/>
      <c r="BW34" s="2" t="n"/>
      <c r="BX34" s="2" t="n"/>
      <c r="BY34" s="2" t="n"/>
      <c r="BZ34" s="2" t="n"/>
      <c r="CA34" s="2" t="n"/>
    </row>
    <row r="35" hidden="1" customFormat="1" s="1">
      <c r="A35" s="288" t="inlineStr">
        <is>
          <t>NOVO</t>
        </is>
      </c>
      <c r="B35" s="16" t="inlineStr">
        <is>
          <t>Apresentação</t>
        </is>
      </c>
      <c r="C35" s="17" t="n"/>
      <c r="D35" s="402">
        <f>K8</f>
        <v/>
      </c>
      <c r="E35" s="403" t="n"/>
      <c r="F35" s="403" t="n"/>
      <c r="G35" s="403" t="n"/>
      <c r="H35" s="403" t="n"/>
      <c r="I35" s="403" t="n"/>
      <c r="J35" s="403" t="n"/>
      <c r="K35" s="404" t="n"/>
      <c r="L35" s="402">
        <f>T8</f>
        <v/>
      </c>
      <c r="M35" s="403" t="n"/>
      <c r="N35" s="403" t="n"/>
      <c r="O35" s="403" t="n"/>
      <c r="P35" s="403" t="n"/>
      <c r="Q35" s="403" t="n"/>
      <c r="R35" s="403" t="n"/>
      <c r="S35" s="403" t="n"/>
      <c r="T35" s="404" t="n"/>
      <c r="U35" s="402">
        <f>AC8</f>
        <v/>
      </c>
      <c r="V35" s="403" t="n"/>
      <c r="W35" s="403" t="n"/>
      <c r="X35" s="403" t="n"/>
      <c r="Y35" s="403" t="n"/>
      <c r="Z35" s="403" t="n"/>
      <c r="AA35" s="403" t="n"/>
      <c r="AB35" s="403" t="n"/>
      <c r="AC35" s="404" t="n"/>
      <c r="AD35" s="402">
        <f>AL8</f>
        <v/>
      </c>
      <c r="AE35" s="403" t="n"/>
      <c r="AF35" s="403" t="n"/>
      <c r="AG35" s="403" t="n"/>
      <c r="AH35" s="403" t="n"/>
      <c r="AI35" s="403" t="n"/>
      <c r="AJ35" s="403" t="n"/>
      <c r="AK35" s="403" t="n"/>
      <c r="AL35" s="404" t="n"/>
      <c r="AM35" s="405">
        <f>AU8</f>
        <v/>
      </c>
      <c r="AN35" s="403" t="n"/>
      <c r="AO35" s="403" t="n"/>
      <c r="AP35" s="403" t="n"/>
      <c r="AQ35" s="403" t="n"/>
      <c r="AR35" s="403" t="n"/>
      <c r="AS35" s="403" t="n"/>
      <c r="AT35" s="403" t="n"/>
      <c r="AU35" s="406" t="n"/>
      <c r="BC35" s="2" t="n"/>
      <c r="BD35" s="2" t="n"/>
      <c r="BE35" s="2" t="n"/>
      <c r="BF35" s="2" t="n"/>
      <c r="BG35" s="2" t="n"/>
      <c r="BH35" s="2" t="n"/>
      <c r="BI35" s="2" t="n"/>
      <c r="BJ35" s="2" t="n"/>
      <c r="BK35" s="2" t="n"/>
      <c r="BL35" s="2" t="n"/>
      <c r="BM35" s="2" t="n"/>
      <c r="BN35" s="2" t="n"/>
      <c r="BO35" s="2" t="n"/>
      <c r="BP35" s="2" t="n"/>
      <c r="BQ35" s="2" t="n"/>
      <c r="BR35" s="2" t="n"/>
      <c r="BS35" s="2" t="n"/>
      <c r="BT35" s="2" t="n"/>
      <c r="BU35" s="2" t="n"/>
      <c r="BV35" s="2" t="n"/>
      <c r="BW35" s="2" t="n"/>
      <c r="BX35" s="2" t="n"/>
      <c r="BY35" s="2" t="n"/>
      <c r="BZ35" s="2" t="n"/>
      <c r="CA35" s="2" t="n"/>
    </row>
    <row r="36" hidden="1" customFormat="1" s="1">
      <c r="A36" s="407" t="n"/>
      <c r="B36" s="18" t="inlineStr">
        <is>
          <t>Workflow</t>
        </is>
      </c>
      <c r="C36" s="19" t="n"/>
      <c r="D36" s="408">
        <f>K9</f>
        <v/>
      </c>
      <c r="E36" s="409" t="n"/>
      <c r="F36" s="409" t="n"/>
      <c r="G36" s="409" t="n"/>
      <c r="H36" s="409" t="n"/>
      <c r="I36" s="409" t="n"/>
      <c r="J36" s="409" t="n"/>
      <c r="K36" s="410" t="n"/>
      <c r="L36" s="408">
        <f>T9</f>
        <v/>
      </c>
      <c r="M36" s="409" t="n"/>
      <c r="N36" s="409" t="n"/>
      <c r="O36" s="409" t="n"/>
      <c r="P36" s="409" t="n"/>
      <c r="Q36" s="409" t="n"/>
      <c r="R36" s="409" t="n"/>
      <c r="S36" s="409" t="n"/>
      <c r="T36" s="410" t="n"/>
      <c r="U36" s="408">
        <f>AC9</f>
        <v/>
      </c>
      <c r="V36" s="409" t="n"/>
      <c r="W36" s="409" t="n"/>
      <c r="X36" s="409" t="n"/>
      <c r="Y36" s="409" t="n"/>
      <c r="Z36" s="409" t="n"/>
      <c r="AA36" s="409" t="n"/>
      <c r="AB36" s="409" t="n"/>
      <c r="AC36" s="410" t="n"/>
      <c r="AD36" s="408">
        <f>AL9</f>
        <v/>
      </c>
      <c r="AE36" s="409" t="n"/>
      <c r="AF36" s="409" t="n"/>
      <c r="AG36" s="409" t="n"/>
      <c r="AH36" s="409" t="n"/>
      <c r="AI36" s="409" t="n"/>
      <c r="AJ36" s="409" t="n"/>
      <c r="AK36" s="409" t="n"/>
      <c r="AL36" s="410" t="n"/>
      <c r="AM36" s="411">
        <f>AU9</f>
        <v/>
      </c>
      <c r="AN36" s="409" t="n"/>
      <c r="AO36" s="409" t="n"/>
      <c r="AP36" s="409" t="n"/>
      <c r="AQ36" s="409" t="n"/>
      <c r="AR36" s="409" t="n"/>
      <c r="AS36" s="409" t="n"/>
      <c r="AT36" s="409" t="n"/>
      <c r="AU36" s="412" t="n"/>
      <c r="BC36" s="2" t="n"/>
      <c r="BD36" s="2" t="n"/>
      <c r="BE36" s="2" t="n"/>
      <c r="BF36" s="2" t="n"/>
      <c r="BG36" s="2" t="n"/>
      <c r="BH36" s="2" t="n"/>
      <c r="BI36" s="2" t="n"/>
      <c r="BJ36" s="2" t="n"/>
      <c r="BK36" s="2" t="n"/>
      <c r="BL36" s="2" t="n"/>
      <c r="BM36" s="2" t="n"/>
      <c r="BN36" s="2" t="n"/>
      <c r="BO36" s="2" t="n"/>
      <c r="BP36" s="2" t="n"/>
      <c r="BQ36" s="2" t="n"/>
      <c r="BR36" s="2" t="n"/>
      <c r="BS36" s="2" t="n"/>
      <c r="BT36" s="2" t="n"/>
      <c r="BU36" s="2" t="n"/>
      <c r="BV36" s="2" t="n"/>
      <c r="BW36" s="2" t="n"/>
      <c r="BX36" s="2" t="n"/>
      <c r="BY36" s="2" t="n"/>
      <c r="BZ36" s="2" t="n"/>
      <c r="CA36" s="2" t="n"/>
    </row>
    <row r="37" hidden="1" customFormat="1" s="1">
      <c r="A37" s="407" t="n"/>
      <c r="B37" s="18" t="inlineStr">
        <is>
          <t>Estrutura</t>
        </is>
      </c>
      <c r="C37" s="19" t="n"/>
      <c r="D37" s="408">
        <f>K10</f>
        <v/>
      </c>
      <c r="E37" s="409" t="n"/>
      <c r="F37" s="409" t="n"/>
      <c r="G37" s="409" t="n"/>
      <c r="H37" s="409" t="n"/>
      <c r="I37" s="409" t="n"/>
      <c r="J37" s="409" t="n"/>
      <c r="K37" s="410" t="n"/>
      <c r="L37" s="408">
        <f>T10</f>
        <v/>
      </c>
      <c r="M37" s="409" t="n"/>
      <c r="N37" s="409" t="n"/>
      <c r="O37" s="409" t="n"/>
      <c r="P37" s="409" t="n"/>
      <c r="Q37" s="409" t="n"/>
      <c r="R37" s="409" t="n"/>
      <c r="S37" s="409" t="n"/>
      <c r="T37" s="410" t="n"/>
      <c r="U37" s="408">
        <f>AC10</f>
        <v/>
      </c>
      <c r="V37" s="409" t="n"/>
      <c r="W37" s="409" t="n"/>
      <c r="X37" s="409" t="n"/>
      <c r="Y37" s="409" t="n"/>
      <c r="Z37" s="409" t="n"/>
      <c r="AA37" s="409" t="n"/>
      <c r="AB37" s="409" t="n"/>
      <c r="AC37" s="410" t="n"/>
      <c r="AD37" s="408">
        <f>AL10</f>
        <v/>
      </c>
      <c r="AE37" s="409" t="n"/>
      <c r="AF37" s="409" t="n"/>
      <c r="AG37" s="409" t="n"/>
      <c r="AH37" s="409" t="n"/>
      <c r="AI37" s="409" t="n"/>
      <c r="AJ37" s="409" t="n"/>
      <c r="AK37" s="409" t="n"/>
      <c r="AL37" s="410" t="n"/>
      <c r="AM37" s="411">
        <f>AU10</f>
        <v/>
      </c>
      <c r="AN37" s="409" t="n"/>
      <c r="AO37" s="409" t="n"/>
      <c r="AP37" s="409" t="n"/>
      <c r="AQ37" s="409" t="n"/>
      <c r="AR37" s="409" t="n"/>
      <c r="AS37" s="409" t="n"/>
      <c r="AT37" s="409" t="n"/>
      <c r="AU37" s="412" t="n"/>
      <c r="BC37" s="2" t="n"/>
      <c r="BD37" s="2" t="n"/>
      <c r="BE37" s="2" t="n"/>
      <c r="BF37" s="2" t="n"/>
      <c r="BG37" s="2" t="n"/>
      <c r="BH37" s="2" t="n"/>
      <c r="BI37" s="2" t="n"/>
      <c r="BJ37" s="2" t="n"/>
      <c r="BK37" s="2" t="n"/>
      <c r="BL37" s="2" t="n"/>
      <c r="BM37" s="2" t="n"/>
      <c r="BN37" s="2" t="n"/>
      <c r="BO37" s="2" t="n"/>
      <c r="BP37" s="2" t="n"/>
      <c r="BQ37" s="2" t="n"/>
      <c r="BR37" s="2" t="n"/>
      <c r="BS37" s="2" t="n"/>
      <c r="BT37" s="2" t="n"/>
      <c r="BU37" s="2" t="n"/>
      <c r="BV37" s="2" t="n"/>
      <c r="BW37" s="2" t="n"/>
      <c r="BX37" s="2" t="n"/>
      <c r="BY37" s="2" t="n"/>
      <c r="BZ37" s="2" t="n"/>
      <c r="CA37" s="2" t="n"/>
    </row>
    <row r="38" hidden="1" customFormat="1" s="1">
      <c r="A38" s="407" t="n"/>
      <c r="B38" s="18" t="inlineStr">
        <is>
          <t>Treinamento / Manual</t>
        </is>
      </c>
      <c r="C38" s="19" t="n"/>
      <c r="D38" s="408">
        <f>K11</f>
        <v/>
      </c>
      <c r="E38" s="409" t="n"/>
      <c r="F38" s="409" t="n"/>
      <c r="G38" s="409" t="n"/>
      <c r="H38" s="409" t="n"/>
      <c r="I38" s="409" t="n"/>
      <c r="J38" s="409" t="n"/>
      <c r="K38" s="410" t="n"/>
      <c r="L38" s="408">
        <f>T11</f>
        <v/>
      </c>
      <c r="M38" s="409" t="n"/>
      <c r="N38" s="409" t="n"/>
      <c r="O38" s="409" t="n"/>
      <c r="P38" s="409" t="n"/>
      <c r="Q38" s="409" t="n"/>
      <c r="R38" s="409" t="n"/>
      <c r="S38" s="409" t="n"/>
      <c r="T38" s="410" t="n"/>
      <c r="U38" s="408">
        <f>AC11</f>
        <v/>
      </c>
      <c r="V38" s="409" t="n"/>
      <c r="W38" s="409" t="n"/>
      <c r="X38" s="409" t="n"/>
      <c r="Y38" s="409" t="n"/>
      <c r="Z38" s="409" t="n"/>
      <c r="AA38" s="409" t="n"/>
      <c r="AB38" s="409" t="n"/>
      <c r="AC38" s="410" t="n"/>
      <c r="AD38" s="408">
        <f>AL11</f>
        <v/>
      </c>
      <c r="AE38" s="409" t="n"/>
      <c r="AF38" s="409" t="n"/>
      <c r="AG38" s="409" t="n"/>
      <c r="AH38" s="409" t="n"/>
      <c r="AI38" s="409" t="n"/>
      <c r="AJ38" s="409" t="n"/>
      <c r="AK38" s="409" t="n"/>
      <c r="AL38" s="410" t="n"/>
      <c r="AM38" s="411">
        <f>AU11</f>
        <v/>
      </c>
      <c r="AN38" s="409" t="n"/>
      <c r="AO38" s="409" t="n"/>
      <c r="AP38" s="409" t="n"/>
      <c r="AQ38" s="409" t="n"/>
      <c r="AR38" s="409" t="n"/>
      <c r="AS38" s="409" t="n"/>
      <c r="AT38" s="409" t="n"/>
      <c r="AU38" s="412" t="n"/>
      <c r="BC38" s="2" t="n"/>
      <c r="BD38" s="2" t="n"/>
      <c r="BE38" s="2" t="n"/>
      <c r="BF38" s="2" t="n"/>
      <c r="BG38" s="2" t="n"/>
      <c r="BH38" s="2" t="n"/>
      <c r="BI38" s="2" t="n"/>
      <c r="BJ38" s="2" t="n"/>
      <c r="BK38" s="2" t="n"/>
      <c r="BL38" s="2" t="n"/>
      <c r="BM38" s="2" t="n"/>
      <c r="BN38" s="2" t="n"/>
      <c r="BO38" s="2" t="n"/>
      <c r="BP38" s="2" t="n"/>
      <c r="BQ38" s="2" t="n"/>
      <c r="BR38" s="2" t="n"/>
      <c r="BS38" s="2" t="n"/>
      <c r="BT38" s="2" t="n"/>
      <c r="BU38" s="2" t="n"/>
      <c r="BV38" s="2" t="n"/>
      <c r="BW38" s="2" t="n"/>
      <c r="BX38" s="2" t="n"/>
      <c r="BY38" s="2" t="n"/>
      <c r="BZ38" s="2" t="n"/>
      <c r="CA38" s="2" t="n"/>
    </row>
    <row r="39" hidden="1" ht="13.9" customFormat="1" customHeight="1" s="1" thickBot="1">
      <c r="A39" s="407" t="n"/>
      <c r="B39" s="18" t="inlineStr">
        <is>
          <t>Tarefa padrão</t>
        </is>
      </c>
      <c r="C39" s="19" t="n"/>
      <c r="D39" s="408">
        <f>K12</f>
        <v/>
      </c>
      <c r="E39" s="409" t="n"/>
      <c r="F39" s="409" t="n"/>
      <c r="G39" s="409" t="n"/>
      <c r="H39" s="409" t="n"/>
      <c r="I39" s="409" t="n"/>
      <c r="J39" s="409" t="n"/>
      <c r="K39" s="410" t="n"/>
      <c r="L39" s="408">
        <f>T12</f>
        <v/>
      </c>
      <c r="M39" s="409" t="n"/>
      <c r="N39" s="409" t="n"/>
      <c r="O39" s="409" t="n"/>
      <c r="P39" s="409" t="n"/>
      <c r="Q39" s="409" t="n"/>
      <c r="R39" s="409" t="n"/>
      <c r="S39" s="409" t="n"/>
      <c r="T39" s="410" t="n"/>
      <c r="U39" s="408">
        <f>AC12</f>
        <v/>
      </c>
      <c r="V39" s="409" t="n"/>
      <c r="W39" s="409" t="n"/>
      <c r="X39" s="409" t="n"/>
      <c r="Y39" s="409" t="n"/>
      <c r="Z39" s="409" t="n"/>
      <c r="AA39" s="409" t="n"/>
      <c r="AB39" s="409" t="n"/>
      <c r="AC39" s="410" t="n"/>
      <c r="AD39" s="408">
        <f>AL12</f>
        <v/>
      </c>
      <c r="AE39" s="409" t="n"/>
      <c r="AF39" s="409" t="n"/>
      <c r="AG39" s="409" t="n"/>
      <c r="AH39" s="409" t="n"/>
      <c r="AI39" s="409" t="n"/>
      <c r="AJ39" s="409" t="n"/>
      <c r="AK39" s="409" t="n"/>
      <c r="AL39" s="410" t="n"/>
      <c r="AM39" s="411">
        <f>AU12</f>
        <v/>
      </c>
      <c r="AN39" s="409" t="n"/>
      <c r="AO39" s="409" t="n"/>
      <c r="AP39" s="409" t="n"/>
      <c r="AQ39" s="409" t="n"/>
      <c r="AR39" s="409" t="n"/>
      <c r="AS39" s="409" t="n"/>
      <c r="AT39" s="409" t="n"/>
      <c r="AU39" s="412" t="n"/>
      <c r="BC39" s="2" t="n"/>
      <c r="BD39" s="2" t="n"/>
      <c r="BE39" s="2" t="n"/>
      <c r="BF39" s="2" t="n"/>
      <c r="BG39" s="2" t="n"/>
      <c r="BH39" s="2" t="n"/>
      <c r="BI39" s="2" t="n"/>
      <c r="BJ39" s="2" t="n"/>
      <c r="BK39" s="2" t="n"/>
      <c r="BL39" s="2" t="n"/>
      <c r="BM39" s="2" t="n"/>
      <c r="BN39" s="2" t="n"/>
      <c r="BO39" s="2" t="n"/>
      <c r="BP39" s="2" t="n"/>
      <c r="BQ39" s="2" t="n"/>
      <c r="BR39" s="2" t="n"/>
      <c r="BS39" s="2" t="n"/>
      <c r="BT39" s="2" t="n"/>
      <c r="BU39" s="2" t="n"/>
      <c r="BV39" s="2" t="n"/>
      <c r="BW39" s="2" t="n"/>
      <c r="BX39" s="2" t="n"/>
      <c r="BY39" s="2" t="n"/>
      <c r="BZ39" s="2" t="n"/>
      <c r="CA39" s="2" t="n"/>
    </row>
    <row r="40" hidden="1" ht="26.1" customFormat="1" customHeight="1" s="1">
      <c r="A40" s="300" t="inlineStr">
        <is>
          <t>AJUSTE</t>
        </is>
      </c>
      <c r="B40" s="22" t="inlineStr">
        <is>
          <t>Apresentação</t>
        </is>
      </c>
      <c r="C40" s="23" t="n"/>
      <c r="D40" s="402">
        <f>K13</f>
        <v/>
      </c>
      <c r="E40" s="403" t="n"/>
      <c r="F40" s="403" t="n"/>
      <c r="G40" s="403" t="n"/>
      <c r="H40" s="403" t="n"/>
      <c r="I40" s="403" t="n"/>
      <c r="J40" s="403" t="n"/>
      <c r="K40" s="404" t="n"/>
      <c r="L40" s="402">
        <f>T13</f>
        <v/>
      </c>
      <c r="M40" s="403" t="n"/>
      <c r="N40" s="403" t="n"/>
      <c r="O40" s="403" t="n"/>
      <c r="P40" s="403" t="n"/>
      <c r="Q40" s="403" t="n"/>
      <c r="R40" s="403" t="n"/>
      <c r="S40" s="403" t="n"/>
      <c r="T40" s="404" t="n"/>
      <c r="U40" s="402">
        <f>AC13</f>
        <v/>
      </c>
      <c r="V40" s="403" t="n"/>
      <c r="W40" s="403" t="n"/>
      <c r="X40" s="403" t="n"/>
      <c r="Y40" s="403" t="n"/>
      <c r="Z40" s="403" t="n"/>
      <c r="AA40" s="403" t="n"/>
      <c r="AB40" s="403" t="n"/>
      <c r="AC40" s="404" t="n"/>
      <c r="AD40" s="402">
        <f>AL13</f>
        <v/>
      </c>
      <c r="AE40" s="403" t="n"/>
      <c r="AF40" s="403" t="n"/>
      <c r="AG40" s="403" t="n"/>
      <c r="AH40" s="403" t="n"/>
      <c r="AI40" s="403" t="n"/>
      <c r="AJ40" s="403" t="n"/>
      <c r="AK40" s="403" t="n"/>
      <c r="AL40" s="404" t="n"/>
      <c r="AM40" s="405">
        <f>AU13</f>
        <v/>
      </c>
      <c r="AN40" s="403" t="n"/>
      <c r="AO40" s="403" t="n"/>
      <c r="AP40" s="403" t="n"/>
      <c r="AQ40" s="403" t="n"/>
      <c r="AR40" s="403" t="n"/>
      <c r="AS40" s="403" t="n"/>
      <c r="AT40" s="403" t="n"/>
      <c r="AU40" s="406" t="n"/>
      <c r="BC40" s="2" t="n"/>
      <c r="BD40" s="2" t="n"/>
      <c r="BE40" s="2" t="n"/>
      <c r="BF40" s="2" t="n"/>
      <c r="BG40" s="2" t="n"/>
      <c r="BH40" s="2" t="n"/>
      <c r="BI40" s="2" t="n"/>
      <c r="BJ40" s="2" t="n"/>
      <c r="BK40" s="2" t="n"/>
      <c r="BL40" s="2" t="n"/>
      <c r="BM40" s="2" t="n"/>
      <c r="BN40" s="2" t="n"/>
      <c r="BO40" s="2" t="n"/>
      <c r="BP40" s="2" t="n"/>
      <c r="BQ40" s="2" t="n"/>
      <c r="BR40" s="2" t="n"/>
      <c r="BS40" s="2" t="n"/>
      <c r="BT40" s="2" t="n"/>
      <c r="BU40" s="2" t="n"/>
      <c r="BV40" s="2" t="n"/>
      <c r="BW40" s="2" t="n"/>
      <c r="BX40" s="2" t="n"/>
      <c r="BY40" s="2" t="n"/>
      <c r="BZ40" s="2" t="n"/>
      <c r="CA40" s="2" t="n"/>
    </row>
    <row r="41" hidden="1" ht="26.1" customFormat="1" customHeight="1" s="1">
      <c r="A41" s="385" t="n"/>
      <c r="B41" s="24" t="inlineStr">
        <is>
          <t>Workflow</t>
        </is>
      </c>
      <c r="C41" s="25" t="n"/>
      <c r="D41" s="408">
        <f>K14</f>
        <v/>
      </c>
      <c r="E41" s="409" t="n"/>
      <c r="F41" s="409" t="n"/>
      <c r="G41" s="409" t="n"/>
      <c r="H41" s="409" t="n"/>
      <c r="I41" s="409" t="n"/>
      <c r="J41" s="409" t="n"/>
      <c r="K41" s="410" t="n"/>
      <c r="L41" s="408">
        <f>T14</f>
        <v/>
      </c>
      <c r="M41" s="409" t="n"/>
      <c r="N41" s="409" t="n"/>
      <c r="O41" s="409" t="n"/>
      <c r="P41" s="409" t="n"/>
      <c r="Q41" s="409" t="n"/>
      <c r="R41" s="409" t="n"/>
      <c r="S41" s="409" t="n"/>
      <c r="T41" s="410" t="n"/>
      <c r="U41" s="408">
        <f>AC14</f>
        <v/>
      </c>
      <c r="V41" s="409" t="n"/>
      <c r="W41" s="409" t="n"/>
      <c r="X41" s="409" t="n"/>
      <c r="Y41" s="409" t="n"/>
      <c r="Z41" s="409" t="n"/>
      <c r="AA41" s="409" t="n"/>
      <c r="AB41" s="409" t="n"/>
      <c r="AC41" s="410" t="n"/>
      <c r="AD41" s="408">
        <f>AL14</f>
        <v/>
      </c>
      <c r="AE41" s="409" t="n"/>
      <c r="AF41" s="409" t="n"/>
      <c r="AG41" s="409" t="n"/>
      <c r="AH41" s="409" t="n"/>
      <c r="AI41" s="409" t="n"/>
      <c r="AJ41" s="409" t="n"/>
      <c r="AK41" s="409" t="n"/>
      <c r="AL41" s="410" t="n"/>
      <c r="AM41" s="411">
        <f>AU14</f>
        <v/>
      </c>
      <c r="AN41" s="409" t="n"/>
      <c r="AO41" s="409" t="n"/>
      <c r="AP41" s="409" t="n"/>
      <c r="AQ41" s="409" t="n"/>
      <c r="AR41" s="409" t="n"/>
      <c r="AS41" s="409" t="n"/>
      <c r="AT41" s="409" t="n"/>
      <c r="AU41" s="412" t="n"/>
      <c r="BC41" s="2" t="n"/>
      <c r="BD41" s="2" t="n"/>
      <c r="BE41" s="2" t="n"/>
      <c r="BF41" s="2" t="n"/>
      <c r="BG41" s="2" t="n"/>
      <c r="BH41" s="2" t="n"/>
      <c r="BI41" s="2" t="n"/>
      <c r="BJ41" s="2" t="n"/>
      <c r="BK41" s="2" t="n"/>
      <c r="BL41" s="2" t="n"/>
      <c r="BM41" s="2" t="n"/>
      <c r="BN41" s="2" t="n"/>
      <c r="BO41" s="2" t="n"/>
      <c r="BP41" s="2" t="n"/>
      <c r="BQ41" s="2" t="n"/>
      <c r="BR41" s="2" t="n"/>
      <c r="BS41" s="2" t="n"/>
      <c r="BT41" s="2" t="n"/>
      <c r="BU41" s="2" t="n"/>
      <c r="BV41" s="2" t="n"/>
      <c r="BW41" s="2" t="n"/>
      <c r="BX41" s="2" t="n"/>
      <c r="BY41" s="2" t="n"/>
      <c r="BZ41" s="2" t="n"/>
      <c r="CA41" s="2" t="n"/>
    </row>
    <row r="42" hidden="1" ht="26.1" customFormat="1" customHeight="1" s="1">
      <c r="A42" s="385" t="n"/>
      <c r="B42" s="24" t="inlineStr">
        <is>
          <t>Estrutura</t>
        </is>
      </c>
      <c r="C42" s="25" t="n"/>
      <c r="D42" s="408">
        <f>K15</f>
        <v/>
      </c>
      <c r="E42" s="409" t="n"/>
      <c r="F42" s="409" t="n"/>
      <c r="G42" s="409" t="n"/>
      <c r="H42" s="409" t="n"/>
      <c r="I42" s="409" t="n"/>
      <c r="J42" s="409" t="n"/>
      <c r="K42" s="410" t="n"/>
      <c r="L42" s="408">
        <f>T15</f>
        <v/>
      </c>
      <c r="M42" s="409" t="n"/>
      <c r="N42" s="409" t="n"/>
      <c r="O42" s="409" t="n"/>
      <c r="P42" s="409" t="n"/>
      <c r="Q42" s="409" t="n"/>
      <c r="R42" s="409" t="n"/>
      <c r="S42" s="409" t="n"/>
      <c r="T42" s="410" t="n"/>
      <c r="U42" s="408">
        <f>AC15</f>
        <v/>
      </c>
      <c r="V42" s="409" t="n"/>
      <c r="W42" s="409" t="n"/>
      <c r="X42" s="409" t="n"/>
      <c r="Y42" s="409" t="n"/>
      <c r="Z42" s="409" t="n"/>
      <c r="AA42" s="409" t="n"/>
      <c r="AB42" s="409" t="n"/>
      <c r="AC42" s="410" t="n"/>
      <c r="AD42" s="408">
        <f>AL15</f>
        <v/>
      </c>
      <c r="AE42" s="409" t="n"/>
      <c r="AF42" s="409" t="n"/>
      <c r="AG42" s="409" t="n"/>
      <c r="AH42" s="409" t="n"/>
      <c r="AI42" s="409" t="n"/>
      <c r="AJ42" s="409" t="n"/>
      <c r="AK42" s="409" t="n"/>
      <c r="AL42" s="410" t="n"/>
      <c r="AM42" s="411">
        <f>AU15</f>
        <v/>
      </c>
      <c r="AN42" s="409" t="n"/>
      <c r="AO42" s="409" t="n"/>
      <c r="AP42" s="409" t="n"/>
      <c r="AQ42" s="409" t="n"/>
      <c r="AR42" s="409" t="n"/>
      <c r="AS42" s="409" t="n"/>
      <c r="AT42" s="409" t="n"/>
      <c r="AU42" s="412" t="n"/>
      <c r="BC42" s="2" t="n"/>
      <c r="BD42" s="2" t="n"/>
      <c r="BE42" s="2" t="n"/>
      <c r="BF42" s="2" t="n"/>
      <c r="BG42" s="2" t="n"/>
      <c r="BH42" s="2" t="n"/>
      <c r="BI42" s="2" t="n"/>
      <c r="BJ42" s="2" t="n"/>
      <c r="BK42" s="2" t="n"/>
      <c r="BL42" s="2" t="n"/>
      <c r="BM42" s="2" t="n"/>
      <c r="BN42" s="2" t="n"/>
      <c r="BO42" s="2" t="n"/>
      <c r="BP42" s="2" t="n"/>
      <c r="BQ42" s="2" t="n"/>
      <c r="BR42" s="2" t="n"/>
      <c r="BS42" s="2" t="n"/>
      <c r="BT42" s="2" t="n"/>
      <c r="BU42" s="2" t="n"/>
      <c r="BV42" s="2" t="n"/>
      <c r="BW42" s="2" t="n"/>
      <c r="BX42" s="2" t="n"/>
      <c r="BY42" s="2" t="n"/>
      <c r="BZ42" s="2" t="n"/>
      <c r="CA42" s="2" t="n"/>
    </row>
    <row r="43" hidden="1" customFormat="1" s="1">
      <c r="B43" s="2" t="n"/>
      <c r="BC43" s="2" t="n"/>
      <c r="BD43" s="2" t="n"/>
      <c r="BE43" s="2" t="n"/>
      <c r="BF43" s="2" t="n"/>
      <c r="BG43" s="2" t="n"/>
      <c r="BH43" s="2" t="n"/>
      <c r="BI43" s="2" t="n"/>
      <c r="BJ43" s="2" t="n"/>
      <c r="BK43" s="2" t="n"/>
      <c r="BL43" s="2" t="n"/>
      <c r="BM43" s="2" t="n"/>
      <c r="BN43" s="2" t="n"/>
      <c r="BO43" s="2" t="n"/>
      <c r="BP43" s="2" t="n"/>
      <c r="BQ43" s="2" t="n"/>
      <c r="BR43" s="2" t="n"/>
      <c r="BS43" s="2" t="n"/>
      <c r="BT43" s="2" t="n"/>
      <c r="BU43" s="2" t="n"/>
      <c r="BV43" s="2" t="n"/>
      <c r="BW43" s="2" t="n"/>
      <c r="BX43" s="2" t="n"/>
      <c r="BY43" s="2" t="n"/>
      <c r="BZ43" s="2" t="n"/>
      <c r="CA43" s="2" t="n"/>
    </row>
    <row r="44" hidden="1"/>
    <row r="45" hidden="1"/>
    <row r="46" hidden="1"/>
    <row r="47" hidden="1"/>
    <row r="48" hidden="1"/>
    <row r="49" hidden="1"/>
    <row r="50" hidden="1"/>
    <row r="51" hidden="1"/>
    <row r="52" hidden="1"/>
    <row r="53" hidden="1"/>
    <row r="54" hidden="1"/>
    <row r="55" hidden="1"/>
    <row r="56" hidden="1"/>
    <row r="57" hidden="1"/>
    <row r="58" hidden="1"/>
    <row r="59" hidden="1"/>
    <row r="60" hidden="1"/>
    <row r="61" hidden="1"/>
    <row r="62" hidden="1"/>
    <row r="63" hidden="1"/>
    <row r="64" hidden="1"/>
    <row r="65" hidden="1"/>
    <row r="66" hidden="1"/>
    <row r="67" hidden="1"/>
    <row r="68" hidden="1"/>
    <row r="69" hidden="1"/>
    <row r="70" hidden="1"/>
    <row r="71" hidden="1"/>
    <row r="72" hidden="1"/>
    <row r="73" hidden="1"/>
    <row r="74" hidden="1"/>
    <row r="75" hidden="1"/>
    <row r="76" hidden="1"/>
    <row r="77" hidden="1"/>
    <row r="78" hidden="1"/>
    <row r="79" hidden="1"/>
    <row r="80" hidden="1"/>
    <row r="81" hidden="1"/>
    <row r="82" hidden="1"/>
    <row r="83" hidden="1"/>
    <row r="84" hidden="1"/>
    <row r="85" hidden="1"/>
    <row r="86" hidden="1"/>
    <row r="87" hidden="1"/>
    <row r="88" hidden="1"/>
    <row r="89" hidden="1"/>
    <row r="90" hidden="1"/>
    <row r="91" hidden="1"/>
    <row r="92" hidden="1"/>
    <row r="93" hidden="1"/>
    <row r="94" hidden="1"/>
    <row r="95" hidden="1"/>
    <row r="96" hidden="1"/>
    <row r="97" hidden="1"/>
    <row r="98" hidden="1"/>
    <row r="99" hidden="1"/>
    <row r="100" hidden="1"/>
    <row r="101" hidden="1"/>
    <row r="102" hidden="1"/>
    <row r="103" hidden="1"/>
    <row r="104" hidden="1"/>
    <row r="105" hidden="1"/>
    <row r="106" hidden="1"/>
    <row r="107" hidden="1"/>
    <row r="108" hidden="1"/>
    <row r="109" hidden="1"/>
    <row r="110" hidden="1"/>
    <row r="111" hidden="1"/>
    <row r="112" hidden="1"/>
    <row r="113" hidden="1"/>
    <row r="114" hidden="1"/>
    <row r="115" hidden="1"/>
    <row r="116" hidden="1"/>
    <row r="117" hidden="1"/>
    <row r="118" hidden="1"/>
    <row r="119" hidden="1"/>
    <row r="120" hidden="1"/>
    <row r="121" hidden="1"/>
    <row r="122" hidden="1"/>
    <row r="123" hidden="1"/>
    <row r="124" hidden="1"/>
    <row r="125" hidden="1"/>
    <row r="126" hidden="1"/>
    <row r="127" hidden="1"/>
    <row r="128" hidden="1">
      <c r="H128" s="107">
        <f>(H134/SUM($H$134:$L$134))</f>
        <v/>
      </c>
      <c r="I128" s="107">
        <f>(I134/SUM($H$134:$L$134))</f>
        <v/>
      </c>
      <c r="J128" s="107">
        <f>(J134/SUM($H$134:$L$134))</f>
        <v/>
      </c>
      <c r="K128" s="107">
        <f>(K134/SUM($H$134:$L$134))</f>
        <v/>
      </c>
      <c r="L128" s="107">
        <f>(L134/SUM($H$134:$L$134))</f>
        <v/>
      </c>
    </row>
    <row r="129" hidden="1" ht="13.9" customHeight="1" thickBot="1"/>
    <row r="130" hidden="1" ht="10.9" customFormat="1" customHeight="1" s="85" thickBot="1">
      <c r="A130" s="3" t="n"/>
      <c r="C130" s="3" t="n"/>
      <c r="D130" s="3" t="n"/>
      <c r="E130" s="3" t="n"/>
      <c r="F130" s="3" t="n"/>
      <c r="G130" s="3" t="n"/>
      <c r="H130" s="91" t="n">
        <v>0.2</v>
      </c>
      <c r="I130" s="92" t="n">
        <v>0.03</v>
      </c>
      <c r="J130" s="92" t="n">
        <v>0.53</v>
      </c>
      <c r="K130" s="92" t="n">
        <v>0.19</v>
      </c>
      <c r="L130" s="93" t="n">
        <v>0.05</v>
      </c>
      <c r="M130" s="3" t="n"/>
      <c r="N130" s="94" t="n">
        <v>0.26</v>
      </c>
      <c r="O130" s="3" t="n"/>
      <c r="P130" s="3" t="n"/>
      <c r="Q130" s="3" t="n"/>
      <c r="R130" s="3" t="n"/>
      <c r="S130" s="3" t="n"/>
      <c r="T130" s="3" t="n"/>
      <c r="U130" s="3" t="n"/>
      <c r="V130" s="3" t="n"/>
      <c r="W130" s="3" t="n"/>
      <c r="X130" s="3" t="n"/>
      <c r="Y130" s="3" t="n"/>
      <c r="Z130" s="3" t="n"/>
      <c r="AA130" s="3" t="n"/>
      <c r="AB130" s="3" t="n"/>
      <c r="AC130" s="3" t="n"/>
      <c r="AD130" s="3" t="n"/>
      <c r="AE130" s="3" t="n"/>
      <c r="AF130" s="3" t="n"/>
      <c r="AG130" s="3" t="n"/>
      <c r="AH130" s="3" t="n"/>
      <c r="AI130" s="3" t="n"/>
      <c r="AJ130" s="3" t="n"/>
      <c r="AK130" s="3" t="n"/>
      <c r="AL130" s="3" t="n"/>
      <c r="AM130" s="3" t="n"/>
      <c r="AN130" s="3" t="n"/>
      <c r="AO130" s="3" t="n"/>
      <c r="AP130" s="3" t="n"/>
      <c r="AQ130" s="3" t="n"/>
      <c r="AR130" s="3" t="n"/>
      <c r="AS130" s="3" t="n"/>
      <c r="AT130" s="3" t="n"/>
      <c r="AU130" s="3" t="n"/>
      <c r="AV130" s="3" t="n"/>
      <c r="AW130" s="3" t="n"/>
      <c r="AX130" s="3" t="n"/>
      <c r="AY130" s="3" t="n"/>
      <c r="AZ130" s="3" t="n"/>
      <c r="BA130" s="3" t="n"/>
      <c r="BB130" s="3" t="n"/>
    </row>
    <row r="131" hidden="1" ht="13.9" customHeight="1" thickBot="1"/>
    <row r="132" hidden="1">
      <c r="B132" s="86" t="n"/>
      <c r="C132" s="86" t="n"/>
      <c r="D132" s="86" t="n"/>
      <c r="E132" s="86" t="n"/>
      <c r="F132" s="28" t="inlineStr">
        <is>
          <t>Complexidade</t>
        </is>
      </c>
      <c r="G132" s="88" t="inlineStr">
        <is>
          <t>Muito Baixa</t>
        </is>
      </c>
      <c r="H132" s="89" t="n"/>
      <c r="I132" s="89" t="n"/>
      <c r="J132" s="89" t="n"/>
      <c r="K132" s="89" t="n"/>
      <c r="L132" s="89" t="n"/>
      <c r="M132" s="89" t="n"/>
      <c r="N132" s="90" t="n"/>
      <c r="P132" s="89" t="n"/>
    </row>
    <row r="133" hidden="1" ht="13.9" customHeight="1" thickBot="1">
      <c r="A133" s="2" t="n"/>
      <c r="B133" s="86" t="n"/>
      <c r="C133" s="86" t="n"/>
      <c r="D133" s="86" t="n"/>
      <c r="E133" s="86" t="n"/>
      <c r="F133" s="29" t="inlineStr">
        <is>
          <t>Elemento</t>
        </is>
      </c>
      <c r="G133" s="29" t="n"/>
      <c r="H133" s="29" t="inlineStr">
        <is>
          <t>EF</t>
        </is>
      </c>
      <c r="I133" s="29" t="inlineStr">
        <is>
          <t>ET</t>
        </is>
      </c>
      <c r="J133" s="29" t="inlineStr">
        <is>
          <t>DE</t>
        </is>
      </c>
      <c r="K133" s="29" t="inlineStr">
        <is>
          <t>TE</t>
        </is>
      </c>
      <c r="L133" s="29" t="inlineStr">
        <is>
          <t>HML</t>
        </is>
      </c>
      <c r="M133" s="29" t="n"/>
      <c r="N133" s="29" t="inlineStr">
        <is>
          <t>TO</t>
        </is>
      </c>
      <c r="P133" s="29" t="inlineStr">
        <is>
          <t>DE</t>
        </is>
      </c>
    </row>
    <row r="134" hidden="1">
      <c r="A134" s="2" t="n"/>
      <c r="B134" s="413" t="inlineStr">
        <is>
          <t>Novo</t>
        </is>
      </c>
      <c r="C134" s="413">
        <f>F134</f>
        <v/>
      </c>
      <c r="D134" s="413" t="inlineStr">
        <is>
          <t>Muito Baixa</t>
        </is>
      </c>
      <c r="E134" s="30">
        <f>CONCATENATE(B134,C134,D134)</f>
        <v/>
      </c>
      <c r="F134" s="5" t="inlineStr">
        <is>
          <t>Apresentação</t>
        </is>
      </c>
      <c r="G134" s="31" t="n"/>
      <c r="H134" s="31">
        <f>($J134/($J$130*100))*(H$130*100)</f>
        <v/>
      </c>
      <c r="I134" s="31">
        <f>($J134/($J$130*100))*(I$130*100)</f>
        <v/>
      </c>
      <c r="J134" s="31">
        <f>P134/(1-$N$130)</f>
        <v/>
      </c>
      <c r="K134" s="31">
        <f>($J134/($J$130*100))*(K$130*100)</f>
        <v/>
      </c>
      <c r="L134" s="31">
        <f>($J134/($J$130*100))*(L$130*100)</f>
        <v/>
      </c>
      <c r="M134" s="31" t="n"/>
      <c r="N134" s="32">
        <f>SUM(H134:L134)</f>
        <v/>
      </c>
      <c r="P134" s="31" t="n">
        <v>5.999999999999999</v>
      </c>
      <c r="T134" s="209" t="n">
        <v>12.24489795918367</v>
      </c>
      <c r="W134" s="217">
        <f>IFERROR((N134-T134)/T134, 0)</f>
        <v/>
      </c>
    </row>
    <row r="135" hidden="1">
      <c r="A135" s="2" t="n"/>
      <c r="B135" s="413" t="inlineStr">
        <is>
          <t>Novo</t>
        </is>
      </c>
      <c r="C135" s="413">
        <f>F135</f>
        <v/>
      </c>
      <c r="D135" s="413" t="inlineStr">
        <is>
          <t>Muito Baixa</t>
        </is>
      </c>
      <c r="E135" s="30">
        <f>CONCATENATE(B135,C135,D135)</f>
        <v/>
      </c>
      <c r="F135" s="5" t="inlineStr">
        <is>
          <t>Workflow</t>
        </is>
      </c>
      <c r="G135" s="31" t="n"/>
      <c r="H135" s="31">
        <f>($J135/($J$130*100))*(H$130*100)</f>
        <v/>
      </c>
      <c r="I135" s="31">
        <f>($J135/($J$130*100))*(I$130*100)</f>
        <v/>
      </c>
      <c r="J135" s="31">
        <f>P135/(1-$N$130)</f>
        <v/>
      </c>
      <c r="K135" s="31">
        <f>($J135/($J$130*100))*(K$130*100)</f>
        <v/>
      </c>
      <c r="L135" s="31">
        <f>($J135/($J$130*100))*(L$130*100)</f>
        <v/>
      </c>
      <c r="M135" s="31" t="n"/>
      <c r="N135" s="32">
        <f>SUM(H135:L135)</f>
        <v/>
      </c>
      <c r="P135" s="31" t="n">
        <v>20</v>
      </c>
      <c r="T135" s="210" t="n">
        <v>40.81632653061224</v>
      </c>
      <c r="W135" s="217">
        <f>IFERROR((N135-T135)/T135, 0)</f>
        <v/>
      </c>
    </row>
    <row r="136" hidden="1">
      <c r="A136" s="2" t="n"/>
      <c r="B136" s="413" t="inlineStr">
        <is>
          <t>Novo</t>
        </is>
      </c>
      <c r="C136" s="413">
        <f>F136</f>
        <v/>
      </c>
      <c r="D136" s="413" t="inlineStr">
        <is>
          <t>Muito Baixa</t>
        </is>
      </c>
      <c r="E136" s="30">
        <f>CONCATENATE(B136,C136,D136)</f>
        <v/>
      </c>
      <c r="F136" s="5" t="inlineStr">
        <is>
          <t>Estrutura</t>
        </is>
      </c>
      <c r="G136" s="31" t="n"/>
      <c r="H136" s="31">
        <f>($J136/($J$130*100))*(H$130*100)</f>
        <v/>
      </c>
      <c r="I136" s="31">
        <f>($J136/($J$130*100))*(I$130*100)</f>
        <v/>
      </c>
      <c r="J136" s="31">
        <f>P136/(1-$N$130)</f>
        <v/>
      </c>
      <c r="K136" s="31">
        <f>($J136/($J$130*100))*(K$130*100)</f>
        <v/>
      </c>
      <c r="L136" s="31">
        <f>($J136/($J$130*100))*(L$130*100)</f>
        <v/>
      </c>
      <c r="M136" s="31" t="n"/>
      <c r="N136" s="32">
        <f>SUM(H136:L136)</f>
        <v/>
      </c>
      <c r="P136" s="31" t="n">
        <v>39.99999999999999</v>
      </c>
      <c r="T136" s="210" t="n">
        <v>81.63265306122447</v>
      </c>
      <c r="W136" s="217">
        <f>IFERROR((N136-T136)/T136, 0)</f>
        <v/>
      </c>
    </row>
    <row r="137" hidden="1">
      <c r="A137" s="2" t="n"/>
      <c r="B137" s="413" t="inlineStr">
        <is>
          <t>Novo</t>
        </is>
      </c>
      <c r="C137" s="413">
        <f>F137</f>
        <v/>
      </c>
      <c r="D137" s="413" t="inlineStr">
        <is>
          <t>Muito Baixa</t>
        </is>
      </c>
      <c r="E137" s="30">
        <f>CONCATENATE(B137,C137,D137)</f>
        <v/>
      </c>
      <c r="F137" s="5" t="inlineStr">
        <is>
          <t>Treinamento / Manual</t>
        </is>
      </c>
      <c r="G137" s="31" t="n"/>
      <c r="H137" s="31" t="n">
        <v>0</v>
      </c>
      <c r="I137" s="31" t="n">
        <v>0</v>
      </c>
      <c r="J137" s="31">
        <f>P137/(1-$N$130)</f>
        <v/>
      </c>
      <c r="K137" s="31" t="n">
        <v>0</v>
      </c>
      <c r="L137" s="31" t="n">
        <v>0</v>
      </c>
      <c r="M137" s="31" t="n"/>
      <c r="N137" s="32">
        <f>SUM(H137:L137)</f>
        <v/>
      </c>
      <c r="P137" s="31" t="n">
        <v>4</v>
      </c>
      <c r="T137" s="210" t="n">
        <v>4</v>
      </c>
      <c r="W137" s="217">
        <f>IFERROR((N137-T137)/T137, 0)</f>
        <v/>
      </c>
    </row>
    <row r="138" hidden="1">
      <c r="A138" s="2" t="n"/>
      <c r="B138" s="413" t="inlineStr">
        <is>
          <t>Novo</t>
        </is>
      </c>
      <c r="C138" s="413">
        <f>F138</f>
        <v/>
      </c>
      <c r="D138" s="413" t="inlineStr">
        <is>
          <t>Muito Baixa</t>
        </is>
      </c>
      <c r="E138" s="30">
        <f>CONCATENATE(B138,C138,D138)</f>
        <v/>
      </c>
      <c r="F138" s="5" t="inlineStr">
        <is>
          <t>Tarefa padrão</t>
        </is>
      </c>
      <c r="G138" s="31" t="n"/>
      <c r="H138" s="31" t="n">
        <v>0</v>
      </c>
      <c r="I138" s="31" t="n">
        <v>0</v>
      </c>
      <c r="J138" s="31">
        <f>P138/(1-$N$130)</f>
        <v/>
      </c>
      <c r="K138" s="31" t="n">
        <v>0</v>
      </c>
      <c r="L138" s="31" t="n">
        <v>0</v>
      </c>
      <c r="M138" s="31" t="n"/>
      <c r="N138" s="32">
        <f>SUM(H138:L138)</f>
        <v/>
      </c>
      <c r="P138" s="31" t="n">
        <v>10</v>
      </c>
      <c r="T138" s="210" t="n">
        <v>10</v>
      </c>
      <c r="W138" s="217">
        <f>IFERROR((N138-T138)/T138, 0)</f>
        <v/>
      </c>
    </row>
    <row r="139" hidden="1" customFormat="1" s="1">
      <c r="A139" s="2" t="n"/>
      <c r="B139" s="30" t="inlineStr">
        <is>
          <t>Ajuste</t>
        </is>
      </c>
      <c r="C139" s="413">
        <f>F139</f>
        <v/>
      </c>
      <c r="D139" s="413" t="inlineStr">
        <is>
          <t>Muito Baixa</t>
        </is>
      </c>
      <c r="E139" s="30">
        <f>CONCATENATE(B139,C139,D139)</f>
        <v/>
      </c>
      <c r="F139" s="9" t="inlineStr">
        <is>
          <t>Apresentação</t>
        </is>
      </c>
      <c r="G139" s="31" t="n"/>
      <c r="H139" s="31">
        <f>($J139/($J$130*100))*(H$130*100)</f>
        <v/>
      </c>
      <c r="I139" s="31">
        <f>($J139/($J$130*100))*(I$130*100)</f>
        <v/>
      </c>
      <c r="J139" s="31">
        <f>P139/(1-$N$130)</f>
        <v/>
      </c>
      <c r="K139" s="31">
        <f>($J139/($J$130*100))*(K$130*100)</f>
        <v/>
      </c>
      <c r="L139" s="31">
        <f>($J139/($J$130*100))*(L$130*100)</f>
        <v/>
      </c>
      <c r="M139" s="31" t="n"/>
      <c r="N139" s="32">
        <f>SUM(H139:L139)</f>
        <v/>
      </c>
      <c r="P139" s="31" t="n">
        <v>3</v>
      </c>
      <c r="T139" s="210" t="n">
        <v>6.122448979591836</v>
      </c>
      <c r="W139" s="217">
        <f>IFERROR((N139-T139)/T139, 0)</f>
        <v/>
      </c>
      <c r="BC139" s="2" t="n"/>
      <c r="BD139" s="2" t="n"/>
      <c r="BE139" s="2" t="n"/>
      <c r="BF139" s="2" t="n"/>
      <c r="BG139" s="2" t="n"/>
      <c r="BH139" s="2" t="n"/>
      <c r="BI139" s="2" t="n"/>
      <c r="BJ139" s="2" t="n"/>
      <c r="BK139" s="2" t="n"/>
      <c r="BL139" s="2" t="n"/>
      <c r="BM139" s="2" t="n"/>
      <c r="BN139" s="2" t="n"/>
      <c r="BO139" s="2" t="n"/>
      <c r="BP139" s="2" t="n"/>
      <c r="BQ139" s="2" t="n"/>
      <c r="BR139" s="2" t="n"/>
      <c r="BS139" s="2" t="n"/>
      <c r="BT139" s="2" t="n"/>
      <c r="BU139" s="2" t="n"/>
      <c r="BV139" s="2" t="n"/>
      <c r="BW139" s="2" t="n"/>
      <c r="BX139" s="2" t="n"/>
      <c r="BY139" s="2" t="n"/>
      <c r="BZ139" s="2" t="n"/>
      <c r="CA139" s="2" t="n"/>
    </row>
    <row r="140" hidden="1" customFormat="1" s="1">
      <c r="A140" s="2" t="n"/>
      <c r="B140" s="30" t="inlineStr">
        <is>
          <t>Ajuste</t>
        </is>
      </c>
      <c r="C140" s="413">
        <f>F140</f>
        <v/>
      </c>
      <c r="D140" s="413" t="inlineStr">
        <is>
          <t>Muito Baixa</t>
        </is>
      </c>
      <c r="E140" s="30">
        <f>CONCATENATE(B140,C140,D140)</f>
        <v/>
      </c>
      <c r="F140" s="9" t="inlineStr">
        <is>
          <t>Workflow</t>
        </is>
      </c>
      <c r="G140" s="31" t="n"/>
      <c r="H140" s="31">
        <f>($J140/($J$130*100))*(H$130*100)</f>
        <v/>
      </c>
      <c r="I140" s="31">
        <f>($J140/($J$130*100))*(I$130*100)</f>
        <v/>
      </c>
      <c r="J140" s="31">
        <f>P140/(1-$N$130)</f>
        <v/>
      </c>
      <c r="K140" s="31">
        <f>($J140/($J$130*100))*(K$130*100)</f>
        <v/>
      </c>
      <c r="L140" s="31">
        <f>($J140/($J$130*100))*(L$130*100)</f>
        <v/>
      </c>
      <c r="M140" s="31" t="n"/>
      <c r="N140" s="32">
        <f>SUM(H140:L140)</f>
        <v/>
      </c>
      <c r="P140" s="31" t="n">
        <v>9.999999999999998</v>
      </c>
      <c r="T140" s="210" t="n">
        <v>20.40816326530612</v>
      </c>
      <c r="W140" s="217">
        <f>IFERROR((N140-T140)/T140, 0)</f>
        <v/>
      </c>
      <c r="BC140" s="2" t="n"/>
      <c r="BD140" s="2" t="n"/>
      <c r="BE140" s="2" t="n"/>
      <c r="BF140" s="2" t="n"/>
      <c r="BG140" s="2" t="n"/>
      <c r="BH140" s="2" t="n"/>
      <c r="BI140" s="2" t="n"/>
      <c r="BJ140" s="2" t="n"/>
      <c r="BK140" s="2" t="n"/>
      <c r="BL140" s="2" t="n"/>
      <c r="BM140" s="2" t="n"/>
      <c r="BN140" s="2" t="n"/>
      <c r="BO140" s="2" t="n"/>
      <c r="BP140" s="2" t="n"/>
      <c r="BQ140" s="2" t="n"/>
      <c r="BR140" s="2" t="n"/>
      <c r="BS140" s="2" t="n"/>
      <c r="BT140" s="2" t="n"/>
      <c r="BU140" s="2" t="n"/>
      <c r="BV140" s="2" t="n"/>
      <c r="BW140" s="2" t="n"/>
      <c r="BX140" s="2" t="n"/>
      <c r="BY140" s="2" t="n"/>
      <c r="BZ140" s="2" t="n"/>
      <c r="CA140" s="2" t="n"/>
    </row>
    <row r="141" hidden="1" customFormat="1" s="1">
      <c r="A141" s="2" t="n"/>
      <c r="B141" s="30" t="inlineStr">
        <is>
          <t>Ajuste</t>
        </is>
      </c>
      <c r="C141" s="413">
        <f>F141</f>
        <v/>
      </c>
      <c r="D141" s="413" t="inlineStr">
        <is>
          <t>Muito Baixa</t>
        </is>
      </c>
      <c r="E141" s="30">
        <f>CONCATENATE(B141,C141,D141)</f>
        <v/>
      </c>
      <c r="F141" s="9" t="inlineStr">
        <is>
          <t>Estrutura</t>
        </is>
      </c>
      <c r="G141" s="31" t="n"/>
      <c r="H141" s="31">
        <f>($J141/($J$130*100))*(H$130*100)</f>
        <v/>
      </c>
      <c r="I141" s="31">
        <f>($J141/($J$130*100))*(I$130*100)</f>
        <v/>
      </c>
      <c r="J141" s="31">
        <f>P141/(1-$N$130)</f>
        <v/>
      </c>
      <c r="K141" s="31">
        <f>($J141/($J$130*100))*(K$130*100)</f>
        <v/>
      </c>
      <c r="L141" s="31">
        <f>($J141/($J$130*100))*(L$130*100)</f>
        <v/>
      </c>
      <c r="M141" s="31" t="n"/>
      <c r="N141" s="32">
        <f>SUM(H141:L141)</f>
        <v/>
      </c>
      <c r="P141" s="31" t="n">
        <v>20</v>
      </c>
      <c r="T141" s="210" t="n">
        <v>40.81632653061224</v>
      </c>
      <c r="W141" s="217">
        <f>IFERROR((N141-T141)/T141, 0)</f>
        <v/>
      </c>
      <c r="BC141" s="2" t="n"/>
      <c r="BD141" s="2" t="n"/>
      <c r="BE141" s="2" t="n"/>
      <c r="BF141" s="2" t="n"/>
      <c r="BG141" s="2" t="n"/>
      <c r="BH141" s="2" t="n"/>
      <c r="BI141" s="2" t="n"/>
      <c r="BJ141" s="2" t="n"/>
      <c r="BK141" s="2" t="n"/>
      <c r="BL141" s="2" t="n"/>
      <c r="BM141" s="2" t="n"/>
      <c r="BN141" s="2" t="n"/>
      <c r="BO141" s="2" t="n"/>
      <c r="BP141" s="2" t="n"/>
      <c r="BQ141" s="2" t="n"/>
      <c r="BR141" s="2" t="n"/>
      <c r="BS141" s="2" t="n"/>
      <c r="BT141" s="2" t="n"/>
      <c r="BU141" s="2" t="n"/>
      <c r="BV141" s="2" t="n"/>
      <c r="BW141" s="2" t="n"/>
      <c r="BX141" s="2" t="n"/>
      <c r="BY141" s="2" t="n"/>
      <c r="BZ141" s="2" t="n"/>
      <c r="CA141" s="2" t="n"/>
    </row>
    <row r="142" hidden="1" customFormat="1" s="1">
      <c r="A142" s="2" t="n"/>
      <c r="B142" s="30" t="inlineStr">
        <is>
          <t>Ajuste</t>
        </is>
      </c>
      <c r="C142" s="413">
        <f>F142</f>
        <v/>
      </c>
      <c r="D142" s="413" t="inlineStr">
        <is>
          <t>Muito Baixa</t>
        </is>
      </c>
      <c r="E142" s="30">
        <f>CONCATENATE(B142,C142,D142)</f>
        <v/>
      </c>
      <c r="F142" s="9" t="n"/>
      <c r="G142" s="31" t="n"/>
      <c r="H142" s="31">
        <f>($J142/($J$130*100))*(H$130*100)</f>
        <v/>
      </c>
      <c r="I142" s="31">
        <f>($J142/($J$130*100))*(I$130*100)</f>
        <v/>
      </c>
      <c r="J142" s="31">
        <f>P142/(1-$N$130)</f>
        <v/>
      </c>
      <c r="K142" s="31">
        <f>($J142/($J$130*100))*(K$130*100)</f>
        <v/>
      </c>
      <c r="L142" s="31">
        <f>($J142/($J$130*100))*(L$130*100)</f>
        <v/>
      </c>
      <c r="M142" s="31" t="n"/>
      <c r="N142" s="32">
        <f>SUM(H142:L142)</f>
        <v/>
      </c>
      <c r="P142" s="31" t="n"/>
      <c r="W142" s="217" t="n"/>
      <c r="BC142" s="2" t="n"/>
      <c r="BD142" s="2" t="n"/>
      <c r="BE142" s="2" t="n"/>
      <c r="BF142" s="2" t="n"/>
      <c r="BG142" s="2" t="n"/>
      <c r="BH142" s="2" t="n"/>
      <c r="BI142" s="2" t="n"/>
      <c r="BJ142" s="2" t="n"/>
      <c r="BK142" s="2" t="n"/>
      <c r="BL142" s="2" t="n"/>
      <c r="BM142" s="2" t="n"/>
      <c r="BN142" s="2" t="n"/>
      <c r="BO142" s="2" t="n"/>
      <c r="BP142" s="2" t="n"/>
      <c r="BQ142" s="2" t="n"/>
      <c r="BR142" s="2" t="n"/>
      <c r="BS142" s="2" t="n"/>
      <c r="BT142" s="2" t="n"/>
      <c r="BU142" s="2" t="n"/>
      <c r="BV142" s="2" t="n"/>
      <c r="BW142" s="2" t="n"/>
      <c r="BX142" s="2" t="n"/>
      <c r="BY142" s="2" t="n"/>
      <c r="BZ142" s="2" t="n"/>
      <c r="CA142" s="2" t="n"/>
    </row>
    <row r="143" hidden="1" customFormat="1" s="1">
      <c r="A143" s="2" t="n"/>
      <c r="B143" s="30" t="inlineStr">
        <is>
          <t>Ajuste</t>
        </is>
      </c>
      <c r="C143" s="413">
        <f>F143</f>
        <v/>
      </c>
      <c r="D143" s="413" t="inlineStr">
        <is>
          <t>Muito Baixa</t>
        </is>
      </c>
      <c r="E143" s="30">
        <f>CONCATENATE(B143,C143,D143)</f>
        <v/>
      </c>
      <c r="F143" s="9" t="n"/>
      <c r="G143" s="31" t="n"/>
      <c r="H143" s="31">
        <f>($J143/($J$130*100))*(H$130*100)</f>
        <v/>
      </c>
      <c r="I143" s="31">
        <f>($J143/($J$130*100))*(I$130*100)</f>
        <v/>
      </c>
      <c r="J143" s="31">
        <f>P143/(1-$N$130)</f>
        <v/>
      </c>
      <c r="K143" s="31">
        <f>($J143/($J$130*100))*(K$130*100)</f>
        <v/>
      </c>
      <c r="L143" s="31">
        <f>($J143/($J$130*100))*(L$130*100)</f>
        <v/>
      </c>
      <c r="M143" s="31" t="n"/>
      <c r="N143" s="32">
        <f>SUM(H143:L143)</f>
        <v/>
      </c>
      <c r="P143" s="31" t="n"/>
      <c r="W143" s="217" t="n"/>
      <c r="BC143" s="2" t="n"/>
      <c r="BD143" s="2" t="n"/>
      <c r="BE143" s="2" t="n"/>
      <c r="BF143" s="2" t="n"/>
      <c r="BG143" s="2" t="n"/>
      <c r="BH143" s="2" t="n"/>
      <c r="BI143" s="2" t="n"/>
      <c r="BJ143" s="2" t="n"/>
      <c r="BK143" s="2" t="n"/>
      <c r="BL143" s="2" t="n"/>
      <c r="BM143" s="2" t="n"/>
      <c r="BN143" s="2" t="n"/>
      <c r="BO143" s="2" t="n"/>
      <c r="BP143" s="2" t="n"/>
      <c r="BQ143" s="2" t="n"/>
      <c r="BR143" s="2" t="n"/>
      <c r="BS143" s="2" t="n"/>
      <c r="BT143" s="2" t="n"/>
      <c r="BU143" s="2" t="n"/>
      <c r="BV143" s="2" t="n"/>
      <c r="BW143" s="2" t="n"/>
      <c r="BX143" s="2" t="n"/>
      <c r="BY143" s="2" t="n"/>
      <c r="BZ143" s="2" t="n"/>
      <c r="CA143" s="2" t="n"/>
    </row>
    <row r="144" hidden="1" customFormat="1" s="1">
      <c r="A144" s="2" t="n"/>
      <c r="B144" s="30" t="inlineStr">
        <is>
          <t>Ajuste</t>
        </is>
      </c>
      <c r="C144" s="413">
        <f>F144</f>
        <v/>
      </c>
      <c r="D144" s="413" t="inlineStr">
        <is>
          <t>Muito Baixa</t>
        </is>
      </c>
      <c r="E144" s="30">
        <f>CONCATENATE(B144,C144,D144)</f>
        <v/>
      </c>
      <c r="F144" s="9" t="n"/>
      <c r="G144" s="31" t="n"/>
      <c r="H144" s="31">
        <f>($J144/($J$130*100))*(H$130*100)</f>
        <v/>
      </c>
      <c r="I144" s="31">
        <f>($J144/($J$130*100))*(I$130*100)</f>
        <v/>
      </c>
      <c r="J144" s="31">
        <f>P144/(1-$N$130)</f>
        <v/>
      </c>
      <c r="K144" s="31">
        <f>($J144/($J$130*100))*(K$130*100)</f>
        <v/>
      </c>
      <c r="L144" s="31">
        <f>($J144/($J$130*100))*(L$130*100)</f>
        <v/>
      </c>
      <c r="M144" s="31" t="n"/>
      <c r="N144" s="32">
        <f>SUM(H144:L144)</f>
        <v/>
      </c>
      <c r="P144" s="31" t="n"/>
      <c r="BC144" s="2" t="n"/>
      <c r="BD144" s="2" t="n"/>
      <c r="BE144" s="2" t="n"/>
      <c r="BF144" s="2" t="n"/>
      <c r="BG144" s="2" t="n"/>
      <c r="BH144" s="2" t="n"/>
      <c r="BI144" s="2" t="n"/>
      <c r="BJ144" s="2" t="n"/>
      <c r="BK144" s="2" t="n"/>
      <c r="BL144" s="2" t="n"/>
      <c r="BM144" s="2" t="n"/>
      <c r="BN144" s="2" t="n"/>
      <c r="BO144" s="2" t="n"/>
      <c r="BP144" s="2" t="n"/>
      <c r="BQ144" s="2" t="n"/>
      <c r="BR144" s="2" t="n"/>
      <c r="BS144" s="2" t="n"/>
      <c r="BT144" s="2" t="n"/>
      <c r="BU144" s="2" t="n"/>
      <c r="BV144" s="2" t="n"/>
      <c r="BW144" s="2" t="n"/>
      <c r="BX144" s="2" t="n"/>
      <c r="BY144" s="2" t="n"/>
      <c r="BZ144" s="2" t="n"/>
      <c r="CA144" s="2" t="n"/>
    </row>
    <row r="145" hidden="1" customFormat="1" s="1">
      <c r="A145" s="2" t="n"/>
      <c r="B145" s="30" t="inlineStr">
        <is>
          <t>Ajuste</t>
        </is>
      </c>
      <c r="C145" s="413">
        <f>F145</f>
        <v/>
      </c>
      <c r="D145" s="413" t="inlineStr">
        <is>
          <t>Muito Baixa</t>
        </is>
      </c>
      <c r="E145" s="30">
        <f>CONCATENATE(B145,C145,D145)</f>
        <v/>
      </c>
      <c r="F145" s="9" t="n"/>
      <c r="G145" s="31" t="n"/>
      <c r="H145" s="31">
        <f>($J145/($J$130*100))*(H$130*100)</f>
        <v/>
      </c>
      <c r="I145" s="31">
        <f>($J145/($J$130*100))*(I$130*100)</f>
        <v/>
      </c>
      <c r="J145" s="31">
        <f>P145/(1-$N$130)</f>
        <v/>
      </c>
      <c r="K145" s="31">
        <f>($J145/($J$130*100))*(K$130*100)</f>
        <v/>
      </c>
      <c r="L145" s="31">
        <f>($J145/($J$130*100))*(L$130*100)</f>
        <v/>
      </c>
      <c r="M145" s="31" t="n"/>
      <c r="N145" s="32">
        <f>SUM(H145:L145)</f>
        <v/>
      </c>
      <c r="P145" s="31" t="n"/>
      <c r="BC145" s="2" t="n"/>
      <c r="BD145" s="2" t="n"/>
      <c r="BE145" s="2" t="n"/>
      <c r="BF145" s="2" t="n"/>
      <c r="BG145" s="2" t="n"/>
      <c r="BH145" s="2" t="n"/>
      <c r="BI145" s="2" t="n"/>
      <c r="BJ145" s="2" t="n"/>
      <c r="BK145" s="2" t="n"/>
      <c r="BL145" s="2" t="n"/>
      <c r="BM145" s="2" t="n"/>
      <c r="BN145" s="2" t="n"/>
      <c r="BO145" s="2" t="n"/>
      <c r="BP145" s="2" t="n"/>
      <c r="BQ145" s="2" t="n"/>
      <c r="BR145" s="2" t="n"/>
      <c r="BS145" s="2" t="n"/>
      <c r="BT145" s="2" t="n"/>
      <c r="BU145" s="2" t="n"/>
      <c r="BV145" s="2" t="n"/>
      <c r="BW145" s="2" t="n"/>
      <c r="BX145" s="2" t="n"/>
      <c r="BY145" s="2" t="n"/>
      <c r="BZ145" s="2" t="n"/>
      <c r="CA145" s="2" t="n"/>
    </row>
    <row r="146" hidden="1" customFormat="1" s="1">
      <c r="A146" s="2" t="n"/>
      <c r="B146" s="30" t="inlineStr">
        <is>
          <t>Ajuste</t>
        </is>
      </c>
      <c r="C146" s="413">
        <f>F146</f>
        <v/>
      </c>
      <c r="D146" s="413" t="inlineStr">
        <is>
          <t>Muito Baixa</t>
        </is>
      </c>
      <c r="E146" s="30">
        <f>CONCATENATE(B146,C146,D146)</f>
        <v/>
      </c>
      <c r="F146" s="9" t="n"/>
      <c r="G146" s="33" t="n"/>
      <c r="H146" s="31">
        <f>($J146/($J$130*100))*(H$130*100)</f>
        <v/>
      </c>
      <c r="I146" s="31">
        <f>($J146/($J$130*100))*(I$130*100)</f>
        <v/>
      </c>
      <c r="J146" s="31">
        <f>P146/(1-$N$130)</f>
        <v/>
      </c>
      <c r="K146" s="31">
        <f>($J146/($J$130*100))*(K$130*100)</f>
        <v/>
      </c>
      <c r="L146" s="31">
        <f>($J146/($J$130*100))*(L$130*100)</f>
        <v/>
      </c>
      <c r="M146" s="31" t="n"/>
      <c r="N146" s="32">
        <f>SUM(H146:L146)</f>
        <v/>
      </c>
      <c r="P146" s="31" t="n"/>
      <c r="BC146" s="2" t="n"/>
      <c r="BD146" s="2" t="n"/>
      <c r="BE146" s="2" t="n"/>
      <c r="BF146" s="2" t="n"/>
      <c r="BG146" s="2" t="n"/>
      <c r="BH146" s="2" t="n"/>
      <c r="BI146" s="2" t="n"/>
      <c r="BJ146" s="2" t="n"/>
      <c r="BK146" s="2" t="n"/>
      <c r="BL146" s="2" t="n"/>
      <c r="BM146" s="2" t="n"/>
      <c r="BN146" s="2" t="n"/>
      <c r="BO146" s="2" t="n"/>
      <c r="BP146" s="2" t="n"/>
      <c r="BQ146" s="2" t="n"/>
      <c r="BR146" s="2" t="n"/>
      <c r="BS146" s="2" t="n"/>
      <c r="BT146" s="2" t="n"/>
      <c r="BU146" s="2" t="n"/>
      <c r="BV146" s="2" t="n"/>
      <c r="BW146" s="2" t="n"/>
      <c r="BX146" s="2" t="n"/>
      <c r="BY146" s="2" t="n"/>
      <c r="BZ146" s="2" t="n"/>
      <c r="CA146" s="2" t="n"/>
    </row>
    <row r="147" hidden="1" customFormat="1" s="1">
      <c r="A147" s="2" t="n"/>
      <c r="B147" s="30" t="inlineStr">
        <is>
          <t>Ajuste</t>
        </is>
      </c>
      <c r="C147" s="413">
        <f>F147</f>
        <v/>
      </c>
      <c r="D147" s="413" t="inlineStr">
        <is>
          <t>Muito Baixa</t>
        </is>
      </c>
      <c r="E147" s="30">
        <f>CONCATENATE(B147,C147,D147)</f>
        <v/>
      </c>
      <c r="F147" s="9" t="n"/>
      <c r="G147" s="33" t="n"/>
      <c r="H147" s="31">
        <f>($J147/($J$130*100))*(H$130*100)</f>
        <v/>
      </c>
      <c r="I147" s="31">
        <f>($J147/($J$130*100))*(I$130*100)</f>
        <v/>
      </c>
      <c r="J147" s="31">
        <f>P147/(1-$N$130)</f>
        <v/>
      </c>
      <c r="K147" s="31">
        <f>($J147/($J$130*100))*(K$130*100)</f>
        <v/>
      </c>
      <c r="L147" s="31">
        <f>($J147/($J$130*100))*(L$130*100)</f>
        <v/>
      </c>
      <c r="M147" s="31" t="n"/>
      <c r="N147" s="32">
        <f>SUM(H147:L147)</f>
        <v/>
      </c>
      <c r="P147" s="31" t="n"/>
      <c r="BC147" s="2" t="n"/>
      <c r="BD147" s="2" t="n"/>
      <c r="BE147" s="2" t="n"/>
      <c r="BF147" s="2" t="n"/>
      <c r="BG147" s="2" t="n"/>
      <c r="BH147" s="2" t="n"/>
      <c r="BI147" s="2" t="n"/>
      <c r="BJ147" s="2" t="n"/>
      <c r="BK147" s="2" t="n"/>
      <c r="BL147" s="2" t="n"/>
      <c r="BM147" s="2" t="n"/>
      <c r="BN147" s="2" t="n"/>
      <c r="BO147" s="2" t="n"/>
      <c r="BP147" s="2" t="n"/>
      <c r="BQ147" s="2" t="n"/>
      <c r="BR147" s="2" t="n"/>
      <c r="BS147" s="2" t="n"/>
      <c r="BT147" s="2" t="n"/>
      <c r="BU147" s="2" t="n"/>
      <c r="BV147" s="2" t="n"/>
      <c r="BW147" s="2" t="n"/>
      <c r="BX147" s="2" t="n"/>
      <c r="BY147" s="2" t="n"/>
      <c r="BZ147" s="2" t="n"/>
      <c r="CA147" s="2" t="n"/>
    </row>
    <row r="148" hidden="1" customFormat="1" s="1">
      <c r="A148" s="2" t="n"/>
      <c r="B148" s="30" t="inlineStr">
        <is>
          <t>Ajuste</t>
        </is>
      </c>
      <c r="C148" s="413">
        <f>F148</f>
        <v/>
      </c>
      <c r="D148" s="413" t="inlineStr">
        <is>
          <t>Muito Baixa</t>
        </is>
      </c>
      <c r="E148" s="30">
        <f>CONCATENATE(B148,C148,D148)</f>
        <v/>
      </c>
      <c r="F148" s="9" t="n"/>
      <c r="G148" s="33" t="n"/>
      <c r="H148" s="31">
        <f>($J148/($J$130*100))*(H$130*100)</f>
        <v/>
      </c>
      <c r="I148" s="31">
        <f>($J148/($J$130*100))*(I$130*100)</f>
        <v/>
      </c>
      <c r="J148" s="31">
        <f>P148/(1-$N$130)</f>
        <v/>
      </c>
      <c r="K148" s="31">
        <f>($J148/($J$130*100))*(K$130*100)</f>
        <v/>
      </c>
      <c r="L148" s="31">
        <f>($J148/($J$130*100))*(L$130*100)</f>
        <v/>
      </c>
      <c r="M148" s="31" t="n"/>
      <c r="N148" s="32">
        <f>SUM(H148:L148)</f>
        <v/>
      </c>
      <c r="P148" s="31" t="n"/>
      <c r="BC148" s="2" t="n"/>
      <c r="BD148" s="2" t="n"/>
      <c r="BE148" s="2" t="n"/>
      <c r="BF148" s="2" t="n"/>
      <c r="BG148" s="2" t="n"/>
      <c r="BH148" s="2" t="n"/>
      <c r="BI148" s="2" t="n"/>
      <c r="BJ148" s="2" t="n"/>
      <c r="BK148" s="2" t="n"/>
      <c r="BL148" s="2" t="n"/>
      <c r="BM148" s="2" t="n"/>
      <c r="BN148" s="2" t="n"/>
      <c r="BO148" s="2" t="n"/>
      <c r="BP148" s="2" t="n"/>
      <c r="BQ148" s="2" t="n"/>
      <c r="BR148" s="2" t="n"/>
      <c r="BS148" s="2" t="n"/>
      <c r="BT148" s="2" t="n"/>
      <c r="BU148" s="2" t="n"/>
      <c r="BV148" s="2" t="n"/>
      <c r="BW148" s="2" t="n"/>
      <c r="BX148" s="2" t="n"/>
      <c r="BY148" s="2" t="n"/>
      <c r="BZ148" s="2" t="n"/>
      <c r="CA148" s="2" t="n"/>
    </row>
    <row r="149" hidden="1" customFormat="1" s="1">
      <c r="A149" s="2" t="n"/>
      <c r="B149" s="30" t="inlineStr">
        <is>
          <t>Ajuste</t>
        </is>
      </c>
      <c r="C149" s="413">
        <f>F149</f>
        <v/>
      </c>
      <c r="D149" s="413" t="inlineStr">
        <is>
          <t>Muito Baixa</t>
        </is>
      </c>
      <c r="E149" s="30">
        <f>CONCATENATE(B149,C149,D149)</f>
        <v/>
      </c>
      <c r="F149" s="9" t="n"/>
      <c r="G149" s="33" t="n"/>
      <c r="H149" s="31">
        <f>($J149/($J$130*100))*(H$130*100)</f>
        <v/>
      </c>
      <c r="I149" s="31">
        <f>($J149/($J$130*100))*(I$130*100)</f>
        <v/>
      </c>
      <c r="J149" s="31">
        <f>P149/(1-$N$130)</f>
        <v/>
      </c>
      <c r="K149" s="31">
        <f>($J149/($J$130*100))*(K$130*100)</f>
        <v/>
      </c>
      <c r="L149" s="31">
        <f>($J149/($J$130*100))*(L$130*100)</f>
        <v/>
      </c>
      <c r="M149" s="31" t="n"/>
      <c r="N149" s="32">
        <f>SUM(H149:L149)</f>
        <v/>
      </c>
      <c r="P149" s="31" t="n"/>
      <c r="BC149" s="2" t="n"/>
      <c r="BD149" s="2" t="n"/>
      <c r="BE149" s="2" t="n"/>
      <c r="BF149" s="2" t="n"/>
      <c r="BG149" s="2" t="n"/>
      <c r="BH149" s="2" t="n"/>
      <c r="BI149" s="2" t="n"/>
      <c r="BJ149" s="2" t="n"/>
      <c r="BK149" s="2" t="n"/>
      <c r="BL149" s="2" t="n"/>
      <c r="BM149" s="2" t="n"/>
      <c r="BN149" s="2" t="n"/>
      <c r="BO149" s="2" t="n"/>
      <c r="BP149" s="2" t="n"/>
      <c r="BQ149" s="2" t="n"/>
      <c r="BR149" s="2" t="n"/>
      <c r="BS149" s="2" t="n"/>
      <c r="BT149" s="2" t="n"/>
      <c r="BU149" s="2" t="n"/>
      <c r="BV149" s="2" t="n"/>
      <c r="BW149" s="2" t="n"/>
      <c r="BX149" s="2" t="n"/>
      <c r="BY149" s="2" t="n"/>
      <c r="BZ149" s="2" t="n"/>
      <c r="CA149" s="2" t="n"/>
    </row>
    <row r="150" hidden="1" customFormat="1" s="1">
      <c r="A150" s="2" t="n"/>
      <c r="B150" s="30" t="inlineStr">
        <is>
          <t>Ajuste</t>
        </is>
      </c>
      <c r="C150" s="413">
        <f>F150</f>
        <v/>
      </c>
      <c r="D150" s="413" t="inlineStr">
        <is>
          <t>Muito Baixa</t>
        </is>
      </c>
      <c r="E150" s="30">
        <f>CONCATENATE(B150,C150,D150)</f>
        <v/>
      </c>
      <c r="F150" s="9" t="n"/>
      <c r="G150" s="33" t="n"/>
      <c r="H150" s="31">
        <f>($J150/($J$130*100))*(H$130*100)</f>
        <v/>
      </c>
      <c r="I150" s="31">
        <f>($J150/($J$130*100))*(I$130*100)</f>
        <v/>
      </c>
      <c r="J150" s="31">
        <f>P150/(1-$N$130)</f>
        <v/>
      </c>
      <c r="K150" s="31">
        <f>($J150/($J$130*100))*(K$130*100)</f>
        <v/>
      </c>
      <c r="L150" s="31">
        <f>($J150/($J$130*100))*(L$130*100)</f>
        <v/>
      </c>
      <c r="M150" s="31" t="n"/>
      <c r="N150" s="32">
        <f>SUM(H150:L150)</f>
        <v/>
      </c>
      <c r="P150" s="31" t="n"/>
      <c r="BC150" s="2" t="n"/>
      <c r="BD150" s="2" t="n"/>
      <c r="BE150" s="2" t="n"/>
      <c r="BF150" s="2" t="n"/>
      <c r="BG150" s="2" t="n"/>
      <c r="BH150" s="2" t="n"/>
      <c r="BI150" s="2" t="n"/>
      <c r="BJ150" s="2" t="n"/>
      <c r="BK150" s="2" t="n"/>
      <c r="BL150" s="2" t="n"/>
      <c r="BM150" s="2" t="n"/>
      <c r="BN150" s="2" t="n"/>
      <c r="BO150" s="2" t="n"/>
      <c r="BP150" s="2" t="n"/>
      <c r="BQ150" s="2" t="n"/>
      <c r="BR150" s="2" t="n"/>
      <c r="BS150" s="2" t="n"/>
      <c r="BT150" s="2" t="n"/>
      <c r="BU150" s="2" t="n"/>
      <c r="BV150" s="2" t="n"/>
      <c r="BW150" s="2" t="n"/>
      <c r="BX150" s="2" t="n"/>
      <c r="BY150" s="2" t="n"/>
      <c r="BZ150" s="2" t="n"/>
      <c r="CA150" s="2" t="n"/>
    </row>
    <row r="151" hidden="1" customFormat="1" s="1">
      <c r="A151" s="2" t="n"/>
      <c r="B151" s="30" t="inlineStr">
        <is>
          <t>Ajuste</t>
        </is>
      </c>
      <c r="C151" s="413">
        <f>F151</f>
        <v/>
      </c>
      <c r="D151" s="413" t="inlineStr">
        <is>
          <t>Muito Baixa</t>
        </is>
      </c>
      <c r="E151" s="30">
        <f>CONCATENATE(B151,C151,D151)</f>
        <v/>
      </c>
      <c r="F151" s="9" t="n"/>
      <c r="G151" s="33" t="n"/>
      <c r="H151" s="31">
        <f>($J151/($J$130*100))*(H$130*100)</f>
        <v/>
      </c>
      <c r="I151" s="31">
        <f>($J151/($J$130*100))*(I$130*100)</f>
        <v/>
      </c>
      <c r="J151" s="31">
        <f>P151/(1-$N$130)</f>
        <v/>
      </c>
      <c r="K151" s="31">
        <f>($J151/($J$130*100))*(K$130*100)</f>
        <v/>
      </c>
      <c r="L151" s="31">
        <f>($J151/($J$130*100))*(L$130*100)</f>
        <v/>
      </c>
      <c r="M151" s="31" t="n"/>
      <c r="N151" s="32">
        <f>SUM(H151:L151)</f>
        <v/>
      </c>
      <c r="P151" s="31" t="n"/>
      <c r="BC151" s="2" t="n"/>
      <c r="BD151" s="2" t="n"/>
      <c r="BE151" s="2" t="n"/>
      <c r="BF151" s="2" t="n"/>
      <c r="BG151" s="2" t="n"/>
      <c r="BH151" s="2" t="n"/>
      <c r="BI151" s="2" t="n"/>
      <c r="BJ151" s="2" t="n"/>
      <c r="BK151" s="2" t="n"/>
      <c r="BL151" s="2" t="n"/>
      <c r="BM151" s="2" t="n"/>
      <c r="BN151" s="2" t="n"/>
      <c r="BO151" s="2" t="n"/>
      <c r="BP151" s="2" t="n"/>
      <c r="BQ151" s="2" t="n"/>
      <c r="BR151" s="2" t="n"/>
      <c r="BS151" s="2" t="n"/>
      <c r="BT151" s="2" t="n"/>
      <c r="BU151" s="2" t="n"/>
      <c r="BV151" s="2" t="n"/>
      <c r="BW151" s="2" t="n"/>
      <c r="BX151" s="2" t="n"/>
      <c r="BY151" s="2" t="n"/>
      <c r="BZ151" s="2" t="n"/>
      <c r="CA151" s="2" t="n"/>
    </row>
    <row r="152" hidden="1" customFormat="1" s="1">
      <c r="A152" s="2" t="n"/>
      <c r="B152" s="30" t="inlineStr">
        <is>
          <t>Ajuste</t>
        </is>
      </c>
      <c r="C152" s="413">
        <f>F152</f>
        <v/>
      </c>
      <c r="D152" s="413" t="inlineStr">
        <is>
          <t>Muito Baixa</t>
        </is>
      </c>
      <c r="E152" s="30">
        <f>CONCATENATE(B152,C152,D152)</f>
        <v/>
      </c>
      <c r="F152" s="9" t="n"/>
      <c r="G152" s="33" t="n"/>
      <c r="H152" s="31">
        <f>($J152/($J$130*100))*(H$130*100)</f>
        <v/>
      </c>
      <c r="I152" s="31">
        <f>($J152/($J$130*100))*(I$130*100)</f>
        <v/>
      </c>
      <c r="J152" s="31">
        <f>P152/(1-$N$130)</f>
        <v/>
      </c>
      <c r="K152" s="31">
        <f>($J152/($J$130*100))*(K$130*100)</f>
        <v/>
      </c>
      <c r="L152" s="31">
        <f>($J152/($J$130*100))*(L$130*100)</f>
        <v/>
      </c>
      <c r="M152" s="31" t="n"/>
      <c r="N152" s="32">
        <f>SUM(H152:L152)</f>
        <v/>
      </c>
      <c r="P152" s="31" t="n"/>
      <c r="BC152" s="2" t="n"/>
      <c r="BD152" s="2" t="n"/>
      <c r="BE152" s="2" t="n"/>
      <c r="BF152" s="2" t="n"/>
      <c r="BG152" s="2" t="n"/>
      <c r="BH152" s="2" t="n"/>
      <c r="BI152" s="2" t="n"/>
      <c r="BJ152" s="2" t="n"/>
      <c r="BK152" s="2" t="n"/>
      <c r="BL152" s="2" t="n"/>
      <c r="BM152" s="2" t="n"/>
      <c r="BN152" s="2" t="n"/>
      <c r="BO152" s="2" t="n"/>
      <c r="BP152" s="2" t="n"/>
      <c r="BQ152" s="2" t="n"/>
      <c r="BR152" s="2" t="n"/>
      <c r="BS152" s="2" t="n"/>
      <c r="BT152" s="2" t="n"/>
      <c r="BU152" s="2" t="n"/>
      <c r="BV152" s="2" t="n"/>
      <c r="BW152" s="2" t="n"/>
      <c r="BX152" s="2" t="n"/>
      <c r="BY152" s="2" t="n"/>
      <c r="BZ152" s="2" t="n"/>
      <c r="CA152" s="2" t="n"/>
    </row>
    <row r="153" hidden="1" customFormat="1" s="1">
      <c r="A153" s="2" t="n"/>
      <c r="B153" s="2" t="n"/>
      <c r="BC153" s="2" t="n"/>
      <c r="BD153" s="2" t="n"/>
      <c r="BE153" s="2" t="n"/>
      <c r="BF153" s="2" t="n"/>
      <c r="BG153" s="2" t="n"/>
      <c r="BH153" s="2" t="n"/>
      <c r="BI153" s="2" t="n"/>
      <c r="BJ153" s="2" t="n"/>
      <c r="BK153" s="2" t="n"/>
      <c r="BL153" s="2" t="n"/>
      <c r="BM153" s="2" t="n"/>
      <c r="BN153" s="2" t="n"/>
      <c r="BO153" s="2" t="n"/>
      <c r="BP153" s="2" t="n"/>
      <c r="BQ153" s="2" t="n"/>
      <c r="BR153" s="2" t="n"/>
      <c r="BS153" s="2" t="n"/>
      <c r="BT153" s="2" t="n"/>
      <c r="BU153" s="2" t="n"/>
      <c r="BV153" s="2" t="n"/>
      <c r="BW153" s="2" t="n"/>
      <c r="BX153" s="2" t="n"/>
      <c r="BY153" s="2" t="n"/>
      <c r="BZ153" s="2" t="n"/>
      <c r="CA153" s="2" t="n"/>
    </row>
    <row r="154" hidden="1" customFormat="1" s="1">
      <c r="A154" s="2" t="n"/>
      <c r="B154" s="2" t="n"/>
      <c r="BC154" s="2" t="n"/>
      <c r="BD154" s="2" t="n"/>
      <c r="BE154" s="2" t="n"/>
      <c r="BF154" s="2" t="n"/>
      <c r="BG154" s="2" t="n"/>
      <c r="BH154" s="2" t="n"/>
      <c r="BI154" s="2" t="n"/>
      <c r="BJ154" s="2" t="n"/>
      <c r="BK154" s="2" t="n"/>
      <c r="BL154" s="2" t="n"/>
      <c r="BM154" s="2" t="n"/>
      <c r="BN154" s="2" t="n"/>
      <c r="BO154" s="2" t="n"/>
      <c r="BP154" s="2" t="n"/>
      <c r="BQ154" s="2" t="n"/>
      <c r="BR154" s="2" t="n"/>
      <c r="BS154" s="2" t="n"/>
      <c r="BT154" s="2" t="n"/>
      <c r="BU154" s="2" t="n"/>
      <c r="BV154" s="2" t="n"/>
      <c r="BW154" s="2" t="n"/>
      <c r="BX154" s="2" t="n"/>
      <c r="BY154" s="2" t="n"/>
      <c r="BZ154" s="2" t="n"/>
      <c r="CA154" s="2" t="n"/>
    </row>
    <row r="155" hidden="1" ht="13.9" customFormat="1" customHeight="1" s="1" thickBot="1">
      <c r="A155" s="2" t="n"/>
      <c r="B155" s="2" t="n"/>
      <c r="BC155" s="2" t="n"/>
      <c r="BD155" s="2" t="n"/>
      <c r="BE155" s="2" t="n"/>
      <c r="BF155" s="2" t="n"/>
      <c r="BG155" s="2" t="n"/>
      <c r="BH155" s="2" t="n"/>
      <c r="BI155" s="2" t="n"/>
      <c r="BJ155" s="2" t="n"/>
      <c r="BK155" s="2" t="n"/>
      <c r="BL155" s="2" t="n"/>
      <c r="BM155" s="2" t="n"/>
      <c r="BN155" s="2" t="n"/>
      <c r="BO155" s="2" t="n"/>
      <c r="BP155" s="2" t="n"/>
      <c r="BQ155" s="2" t="n"/>
      <c r="BR155" s="2" t="n"/>
      <c r="BS155" s="2" t="n"/>
      <c r="BT155" s="2" t="n"/>
      <c r="BU155" s="2" t="n"/>
      <c r="BV155" s="2" t="n"/>
      <c r="BW155" s="2" t="n"/>
      <c r="BX155" s="2" t="n"/>
      <c r="BY155" s="2" t="n"/>
      <c r="BZ155" s="2" t="n"/>
      <c r="CA155" s="2" t="n"/>
    </row>
    <row r="156" hidden="1" customFormat="1" s="1">
      <c r="A156" s="2" t="n"/>
      <c r="B156" s="86" t="n"/>
      <c r="C156" s="86" t="n"/>
      <c r="D156" s="86" t="n"/>
      <c r="E156" s="86" t="n"/>
      <c r="F156" s="28" t="inlineStr">
        <is>
          <t>Complexidade</t>
        </is>
      </c>
      <c r="G156" s="88" t="inlineStr">
        <is>
          <t>Baixa</t>
        </is>
      </c>
      <c r="H156" s="89" t="n"/>
      <c r="I156" s="89" t="n"/>
      <c r="J156" s="89" t="n"/>
      <c r="K156" s="89" t="n"/>
      <c r="L156" s="89" t="n"/>
      <c r="M156" s="89" t="n"/>
      <c r="N156" s="90" t="n"/>
      <c r="P156" s="89" t="n"/>
      <c r="BC156" s="2" t="n"/>
      <c r="BD156" s="2" t="n"/>
      <c r="BE156" s="2" t="n"/>
      <c r="BF156" s="2" t="n"/>
      <c r="BG156" s="2" t="n"/>
      <c r="BH156" s="2" t="n"/>
      <c r="BI156" s="2" t="n"/>
      <c r="BJ156" s="2" t="n"/>
      <c r="BK156" s="2" t="n"/>
      <c r="BL156" s="2" t="n"/>
      <c r="BM156" s="2" t="n"/>
      <c r="BN156" s="2" t="n"/>
      <c r="BO156" s="2" t="n"/>
      <c r="BP156" s="2" t="n"/>
      <c r="BQ156" s="2" t="n"/>
      <c r="BR156" s="2" t="n"/>
      <c r="BS156" s="2" t="n"/>
      <c r="BT156" s="2" t="n"/>
      <c r="BU156" s="2" t="n"/>
      <c r="BV156" s="2" t="n"/>
      <c r="BW156" s="2" t="n"/>
      <c r="BX156" s="2" t="n"/>
      <c r="BY156" s="2" t="n"/>
      <c r="BZ156" s="2" t="n"/>
      <c r="CA156" s="2" t="n"/>
    </row>
    <row r="157" hidden="1" ht="13.9" customFormat="1" customHeight="1" s="1" thickBot="1">
      <c r="A157" s="2" t="n"/>
      <c r="B157" s="86" t="n"/>
      <c r="C157" s="86" t="n"/>
      <c r="D157" s="86" t="n"/>
      <c r="E157" s="86" t="n"/>
      <c r="F157" s="29" t="inlineStr">
        <is>
          <t>Elemento</t>
        </is>
      </c>
      <c r="G157" s="29" t="n"/>
      <c r="H157" s="29" t="inlineStr">
        <is>
          <t>EF</t>
        </is>
      </c>
      <c r="I157" s="29" t="inlineStr">
        <is>
          <t>ET</t>
        </is>
      </c>
      <c r="J157" s="29" t="inlineStr">
        <is>
          <t>DE</t>
        </is>
      </c>
      <c r="K157" s="29" t="inlineStr">
        <is>
          <t>TE</t>
        </is>
      </c>
      <c r="L157" s="29" t="inlineStr">
        <is>
          <t>HML</t>
        </is>
      </c>
      <c r="M157" s="29" t="n"/>
      <c r="N157" s="29" t="inlineStr">
        <is>
          <t>TO</t>
        </is>
      </c>
      <c r="P157" s="29" t="inlineStr">
        <is>
          <t>DE</t>
        </is>
      </c>
      <c r="BC157" s="2" t="n"/>
      <c r="BD157" s="2" t="n"/>
      <c r="BE157" s="2" t="n"/>
      <c r="BF157" s="2" t="n"/>
      <c r="BG157" s="2" t="n"/>
      <c r="BH157" s="2" t="n"/>
      <c r="BI157" s="2" t="n"/>
      <c r="BJ157" s="2" t="n"/>
      <c r="BK157" s="2" t="n"/>
      <c r="BL157" s="2" t="n"/>
      <c r="BM157" s="2" t="n"/>
      <c r="BN157" s="2" t="n"/>
      <c r="BO157" s="2" t="n"/>
      <c r="BP157" s="2" t="n"/>
      <c r="BQ157" s="2" t="n"/>
      <c r="BR157" s="2" t="n"/>
      <c r="BS157" s="2" t="n"/>
      <c r="BT157" s="2" t="n"/>
      <c r="BU157" s="2" t="n"/>
      <c r="BV157" s="2" t="n"/>
      <c r="BW157" s="2" t="n"/>
      <c r="BX157" s="2" t="n"/>
      <c r="BY157" s="2" t="n"/>
      <c r="BZ157" s="2" t="n"/>
      <c r="CA157" s="2" t="n"/>
    </row>
    <row r="158" hidden="1" customFormat="1" s="1">
      <c r="A158" s="2" t="n"/>
      <c r="B158" s="413" t="inlineStr">
        <is>
          <t>Novo</t>
        </is>
      </c>
      <c r="C158" s="413">
        <f>F158</f>
        <v/>
      </c>
      <c r="D158" s="413" t="inlineStr">
        <is>
          <t>Baixa</t>
        </is>
      </c>
      <c r="E158" s="30">
        <f>CONCATENATE(B158,C158,D158)</f>
        <v/>
      </c>
      <c r="F158" s="5" t="inlineStr">
        <is>
          <t>Apresentação</t>
        </is>
      </c>
      <c r="G158" s="31" t="n"/>
      <c r="H158" s="31">
        <f>($J158/($J$130*100))*(H$130*100)</f>
        <v/>
      </c>
      <c r="I158" s="31">
        <f>($J158/($J$130*100))*(I$130*100)</f>
        <v/>
      </c>
      <c r="J158" s="31">
        <f>P158/(1-$N$130)</f>
        <v/>
      </c>
      <c r="K158" s="31">
        <f>($J158/($J$130*100))*(K$130*100)</f>
        <v/>
      </c>
      <c r="L158" s="31">
        <f>($J158/($J$130*100))*(L$130*100)</f>
        <v/>
      </c>
      <c r="M158" s="31" t="n"/>
      <c r="N158" s="32">
        <f>SUM(H158:L158)</f>
        <v/>
      </c>
      <c r="P158" s="31" t="n">
        <v>12</v>
      </c>
      <c r="T158" s="209" t="n">
        <v>24.48979591836735</v>
      </c>
      <c r="W158" s="217">
        <f>IFERROR((N158-T158)/T158, 0)</f>
        <v/>
      </c>
      <c r="BC158" s="2" t="n"/>
      <c r="BD158" s="2" t="n"/>
      <c r="BE158" s="2" t="n"/>
      <c r="BF158" s="2" t="n"/>
      <c r="BG158" s="2" t="n"/>
      <c r="BH158" s="2" t="n"/>
      <c r="BI158" s="2" t="n"/>
      <c r="BJ158" s="2" t="n"/>
      <c r="BK158" s="2" t="n"/>
      <c r="BL158" s="2" t="n"/>
      <c r="BM158" s="2" t="n"/>
      <c r="BN158" s="2" t="n"/>
      <c r="BO158" s="2" t="n"/>
      <c r="BP158" s="2" t="n"/>
      <c r="BQ158" s="2" t="n"/>
      <c r="BR158" s="2" t="n"/>
      <c r="BS158" s="2" t="n"/>
      <c r="BT158" s="2" t="n"/>
      <c r="BU158" s="2" t="n"/>
      <c r="BV158" s="2" t="n"/>
      <c r="BW158" s="2" t="n"/>
      <c r="BX158" s="2" t="n"/>
      <c r="BY158" s="2" t="n"/>
      <c r="BZ158" s="2" t="n"/>
      <c r="CA158" s="2" t="n"/>
    </row>
    <row r="159" hidden="1" customFormat="1" s="1">
      <c r="A159" s="2" t="n"/>
      <c r="B159" s="413" t="inlineStr">
        <is>
          <t>Novo</t>
        </is>
      </c>
      <c r="C159" s="413">
        <f>F159</f>
        <v/>
      </c>
      <c r="D159" s="413" t="inlineStr">
        <is>
          <t>Baixa</t>
        </is>
      </c>
      <c r="E159" s="30">
        <f>CONCATENATE(B159,C159,D159)</f>
        <v/>
      </c>
      <c r="F159" s="5" t="inlineStr">
        <is>
          <t>Workflow</t>
        </is>
      </c>
      <c r="G159" s="31" t="n"/>
      <c r="H159" s="31">
        <f>($J159/($J$130*100))*(H$130*100)</f>
        <v/>
      </c>
      <c r="I159" s="31">
        <f>($J159/($J$130*100))*(I$130*100)</f>
        <v/>
      </c>
      <c r="J159" s="31">
        <f>P159/(1-$N$130)</f>
        <v/>
      </c>
      <c r="K159" s="31">
        <f>($J159/($J$130*100))*(K$130*100)</f>
        <v/>
      </c>
      <c r="L159" s="31">
        <f>($J159/($J$130*100))*(L$130*100)</f>
        <v/>
      </c>
      <c r="M159" s="31" t="n"/>
      <c r="N159" s="32">
        <f>SUM(H159:L159)</f>
        <v/>
      </c>
      <c r="P159" s="31" t="n">
        <v>39.99999999999999</v>
      </c>
      <c r="T159" s="210" t="n">
        <v>81.63265306122447</v>
      </c>
      <c r="W159" s="217">
        <f>IFERROR((N159-T159)/T159, 0)</f>
        <v/>
      </c>
      <c r="BC159" s="2" t="n"/>
      <c r="BD159" s="2" t="n"/>
      <c r="BE159" s="2" t="n"/>
      <c r="BF159" s="2" t="n"/>
      <c r="BG159" s="2" t="n"/>
      <c r="BH159" s="2" t="n"/>
      <c r="BI159" s="2" t="n"/>
      <c r="BJ159" s="2" t="n"/>
      <c r="BK159" s="2" t="n"/>
      <c r="BL159" s="2" t="n"/>
      <c r="BM159" s="2" t="n"/>
      <c r="BN159" s="2" t="n"/>
      <c r="BO159" s="2" t="n"/>
      <c r="BP159" s="2" t="n"/>
      <c r="BQ159" s="2" t="n"/>
      <c r="BR159" s="2" t="n"/>
      <c r="BS159" s="2" t="n"/>
      <c r="BT159" s="2" t="n"/>
      <c r="BU159" s="2" t="n"/>
      <c r="BV159" s="2" t="n"/>
      <c r="BW159" s="2" t="n"/>
      <c r="BX159" s="2" t="n"/>
      <c r="BY159" s="2" t="n"/>
      <c r="BZ159" s="2" t="n"/>
      <c r="CA159" s="2" t="n"/>
    </row>
    <row r="160" hidden="1" customFormat="1" s="1">
      <c r="A160" s="2" t="n"/>
      <c r="B160" s="413" t="inlineStr">
        <is>
          <t>Novo</t>
        </is>
      </c>
      <c r="C160" s="413">
        <f>F160</f>
        <v/>
      </c>
      <c r="D160" s="413" t="inlineStr">
        <is>
          <t>Baixa</t>
        </is>
      </c>
      <c r="E160" s="30">
        <f>CONCATENATE(B160,C160,D160)</f>
        <v/>
      </c>
      <c r="F160" s="5" t="inlineStr">
        <is>
          <t>Estrutura</t>
        </is>
      </c>
      <c r="G160" s="31" t="n"/>
      <c r="H160" s="31">
        <f>($J160/($J$130*100))*(H$130*100)</f>
        <v/>
      </c>
      <c r="I160" s="31">
        <f>($J160/($J$130*100))*(I$130*100)</f>
        <v/>
      </c>
      <c r="J160" s="31">
        <f>P160/(1-$N$130)</f>
        <v/>
      </c>
      <c r="K160" s="31">
        <f>($J160/($J$130*100))*(K$130*100)</f>
        <v/>
      </c>
      <c r="L160" s="31">
        <f>($J160/($J$130*100))*(L$130*100)</f>
        <v/>
      </c>
      <c r="M160" s="31" t="n"/>
      <c r="N160" s="32">
        <f>SUM(H160:L160)</f>
        <v/>
      </c>
      <c r="P160" s="31" t="n">
        <v>49.99999999999999</v>
      </c>
      <c r="T160" s="210" t="n">
        <v>102.0408163265306</v>
      </c>
      <c r="W160" s="217">
        <f>IFERROR((N160-T160)/T160, 0)</f>
        <v/>
      </c>
      <c r="BC160" s="2" t="n"/>
      <c r="BD160" s="2" t="n"/>
      <c r="BE160" s="2" t="n"/>
      <c r="BF160" s="2" t="n"/>
      <c r="BG160" s="2" t="n"/>
      <c r="BH160" s="2" t="n"/>
      <c r="BI160" s="2" t="n"/>
      <c r="BJ160" s="2" t="n"/>
      <c r="BK160" s="2" t="n"/>
      <c r="BL160" s="2" t="n"/>
      <c r="BM160" s="2" t="n"/>
      <c r="BN160" s="2" t="n"/>
      <c r="BO160" s="2" t="n"/>
      <c r="BP160" s="2" t="n"/>
      <c r="BQ160" s="2" t="n"/>
      <c r="BR160" s="2" t="n"/>
      <c r="BS160" s="2" t="n"/>
      <c r="BT160" s="2" t="n"/>
      <c r="BU160" s="2" t="n"/>
      <c r="BV160" s="2" t="n"/>
      <c r="BW160" s="2" t="n"/>
      <c r="BX160" s="2" t="n"/>
      <c r="BY160" s="2" t="n"/>
      <c r="BZ160" s="2" t="n"/>
      <c r="CA160" s="2" t="n"/>
    </row>
    <row r="161" hidden="1" customFormat="1" s="1">
      <c r="A161" s="2" t="n"/>
      <c r="B161" s="413" t="inlineStr">
        <is>
          <t>Novo</t>
        </is>
      </c>
      <c r="C161" s="413">
        <f>F161</f>
        <v/>
      </c>
      <c r="D161" s="413" t="inlineStr">
        <is>
          <t>Baixa</t>
        </is>
      </c>
      <c r="E161" s="30">
        <f>CONCATENATE(B161,C161,D161)</f>
        <v/>
      </c>
      <c r="F161" s="5" t="inlineStr">
        <is>
          <t>Treinamento / Manual</t>
        </is>
      </c>
      <c r="G161" s="31" t="n"/>
      <c r="H161" s="31" t="n">
        <v>0</v>
      </c>
      <c r="I161" s="31" t="n">
        <v>0</v>
      </c>
      <c r="J161" s="31">
        <f>P161/(1-$N$130)</f>
        <v/>
      </c>
      <c r="K161" s="31" t="n">
        <v>0</v>
      </c>
      <c r="L161" s="31" t="n">
        <v>0</v>
      </c>
      <c r="M161" s="31" t="n"/>
      <c r="N161" s="32">
        <f>SUM(H161:L161)</f>
        <v/>
      </c>
      <c r="P161" s="31" t="n">
        <v>8</v>
      </c>
      <c r="T161" s="210" t="n">
        <v>8</v>
      </c>
      <c r="W161" s="217">
        <f>IFERROR((N161-T161)/T161, 0)</f>
        <v/>
      </c>
      <c r="BC161" s="2" t="n"/>
      <c r="BD161" s="2" t="n"/>
      <c r="BE161" s="2" t="n"/>
      <c r="BF161" s="2" t="n"/>
      <c r="BG161" s="2" t="n"/>
      <c r="BH161" s="2" t="n"/>
      <c r="BI161" s="2" t="n"/>
      <c r="BJ161" s="2" t="n"/>
      <c r="BK161" s="2" t="n"/>
      <c r="BL161" s="2" t="n"/>
      <c r="BM161" s="2" t="n"/>
      <c r="BN161" s="2" t="n"/>
      <c r="BO161" s="2" t="n"/>
      <c r="BP161" s="2" t="n"/>
      <c r="BQ161" s="2" t="n"/>
      <c r="BR161" s="2" t="n"/>
      <c r="BS161" s="2" t="n"/>
      <c r="BT161" s="2" t="n"/>
      <c r="BU161" s="2" t="n"/>
      <c r="BV161" s="2" t="n"/>
      <c r="BW161" s="2" t="n"/>
      <c r="BX161" s="2" t="n"/>
      <c r="BY161" s="2" t="n"/>
      <c r="BZ161" s="2" t="n"/>
      <c r="CA161" s="2" t="n"/>
    </row>
    <row r="162" hidden="1" customFormat="1" s="1">
      <c r="A162" s="2" t="n"/>
      <c r="B162" s="413" t="inlineStr">
        <is>
          <t>Novo</t>
        </is>
      </c>
      <c r="C162" s="413">
        <f>F162</f>
        <v/>
      </c>
      <c r="D162" s="413" t="inlineStr">
        <is>
          <t>Baixa</t>
        </is>
      </c>
      <c r="E162" s="30">
        <f>CONCATENATE(B162,C162,D162)</f>
        <v/>
      </c>
      <c r="F162" s="5" t="inlineStr">
        <is>
          <t>Tarefa padrão</t>
        </is>
      </c>
      <c r="G162" s="31" t="n"/>
      <c r="H162" s="31">
        <f>($J162/($J$130*100))*(H$130*100)</f>
        <v/>
      </c>
      <c r="I162" s="31">
        <f>($J162/($J$130*100))*(I$130*100)</f>
        <v/>
      </c>
      <c r="J162" s="31">
        <f>P162/(1-$N$130)</f>
        <v/>
      </c>
      <c r="K162" s="31">
        <f>($J162/($J$130*100))*(K$130*100)</f>
        <v/>
      </c>
      <c r="L162" s="31">
        <f>($J162/($J$130*100))*(L$130*100)</f>
        <v/>
      </c>
      <c r="M162" s="31" t="n"/>
      <c r="N162" s="32">
        <f>SUM(H162:L162)</f>
        <v/>
      </c>
      <c r="P162" s="31" t="n">
        <v>0</v>
      </c>
      <c r="T162" s="210" t="n">
        <v>0</v>
      </c>
      <c r="W162" s="217">
        <f>IFERROR((N162-T162)/T162, 0)</f>
        <v/>
      </c>
      <c r="BC162" s="2" t="n"/>
      <c r="BD162" s="2" t="n"/>
      <c r="BE162" s="2" t="n"/>
      <c r="BF162" s="2" t="n"/>
      <c r="BG162" s="2" t="n"/>
      <c r="BH162" s="2" t="n"/>
      <c r="BI162" s="2" t="n"/>
      <c r="BJ162" s="2" t="n"/>
      <c r="BK162" s="2" t="n"/>
      <c r="BL162" s="2" t="n"/>
      <c r="BM162" s="2" t="n"/>
      <c r="BN162" s="2" t="n"/>
      <c r="BO162" s="2" t="n"/>
      <c r="BP162" s="2" t="n"/>
      <c r="BQ162" s="2" t="n"/>
      <c r="BR162" s="2" t="n"/>
      <c r="BS162" s="2" t="n"/>
      <c r="BT162" s="2" t="n"/>
      <c r="BU162" s="2" t="n"/>
      <c r="BV162" s="2" t="n"/>
      <c r="BW162" s="2" t="n"/>
      <c r="BX162" s="2" t="n"/>
      <c r="BY162" s="2" t="n"/>
      <c r="BZ162" s="2" t="n"/>
      <c r="CA162" s="2" t="n"/>
    </row>
    <row r="163" hidden="1" customFormat="1" s="1">
      <c r="A163" s="2" t="n"/>
      <c r="B163" s="30" t="inlineStr">
        <is>
          <t>Ajuste</t>
        </is>
      </c>
      <c r="C163" s="413">
        <f>F163</f>
        <v/>
      </c>
      <c r="D163" s="413" t="inlineStr">
        <is>
          <t>Baixa</t>
        </is>
      </c>
      <c r="E163" s="30">
        <f>CONCATENATE(B163,C163,D163)</f>
        <v/>
      </c>
      <c r="F163" s="9" t="inlineStr">
        <is>
          <t>Apresentação</t>
        </is>
      </c>
      <c r="G163" s="31" t="n"/>
      <c r="H163" s="31">
        <f>($J163/($J$130*100))*(H$130*100)</f>
        <v/>
      </c>
      <c r="I163" s="31">
        <f>($J163/($J$130*100))*(I$130*100)</f>
        <v/>
      </c>
      <c r="J163" s="31">
        <f>P163/(1-$N$130)</f>
        <v/>
      </c>
      <c r="K163" s="31">
        <f>($J163/($J$130*100))*(K$130*100)</f>
        <v/>
      </c>
      <c r="L163" s="31">
        <f>($J163/($J$130*100))*(L$130*100)</f>
        <v/>
      </c>
      <c r="M163" s="31" t="n"/>
      <c r="N163" s="32">
        <f>SUM(H163:L163)</f>
        <v/>
      </c>
      <c r="P163" s="31" t="n">
        <v>5.999999999999999</v>
      </c>
      <c r="T163" s="210" t="n">
        <v>12.24489795918367</v>
      </c>
      <c r="W163" s="217">
        <f>IFERROR((N163-T163)/T163, 0)</f>
        <v/>
      </c>
      <c r="BC163" s="2" t="n"/>
      <c r="BD163" s="2" t="n"/>
      <c r="BE163" s="2" t="n"/>
      <c r="BF163" s="2" t="n"/>
      <c r="BG163" s="2" t="n"/>
      <c r="BH163" s="2" t="n"/>
      <c r="BI163" s="2" t="n"/>
      <c r="BJ163" s="2" t="n"/>
      <c r="BK163" s="2" t="n"/>
      <c r="BL163" s="2" t="n"/>
      <c r="BM163" s="2" t="n"/>
      <c r="BN163" s="2" t="n"/>
      <c r="BO163" s="2" t="n"/>
      <c r="BP163" s="2" t="n"/>
      <c r="BQ163" s="2" t="n"/>
      <c r="BR163" s="2" t="n"/>
      <c r="BS163" s="2" t="n"/>
      <c r="BT163" s="2" t="n"/>
      <c r="BU163" s="2" t="n"/>
      <c r="BV163" s="2" t="n"/>
      <c r="BW163" s="2" t="n"/>
      <c r="BX163" s="2" t="n"/>
      <c r="BY163" s="2" t="n"/>
      <c r="BZ163" s="2" t="n"/>
      <c r="CA163" s="2" t="n"/>
    </row>
    <row r="164" hidden="1" customFormat="1" s="1">
      <c r="A164" s="2" t="n"/>
      <c r="B164" s="30" t="inlineStr">
        <is>
          <t>Ajuste</t>
        </is>
      </c>
      <c r="C164" s="413">
        <f>F164</f>
        <v/>
      </c>
      <c r="D164" s="413" t="inlineStr">
        <is>
          <t>Baixa</t>
        </is>
      </c>
      <c r="E164" s="30">
        <f>CONCATENATE(B164,C164,D164)</f>
        <v/>
      </c>
      <c r="F164" s="9" t="inlineStr">
        <is>
          <t>Workflow</t>
        </is>
      </c>
      <c r="G164" s="31" t="n"/>
      <c r="H164" s="31">
        <f>($J164/($J$130*100))*(H$130*100)</f>
        <v/>
      </c>
      <c r="I164" s="31">
        <f>($J164/($J$130*100))*(I$130*100)</f>
        <v/>
      </c>
      <c r="J164" s="31">
        <f>P164/(1-$N$130)</f>
        <v/>
      </c>
      <c r="K164" s="31">
        <f>($J164/($J$130*100))*(K$130*100)</f>
        <v/>
      </c>
      <c r="L164" s="31">
        <f>($J164/($J$130*100))*(L$130*100)</f>
        <v/>
      </c>
      <c r="M164" s="31" t="n"/>
      <c r="N164" s="32">
        <f>SUM(H164:L164)</f>
        <v/>
      </c>
      <c r="P164" s="31" t="n">
        <v>20</v>
      </c>
      <c r="T164" s="210" t="n">
        <v>40.81632653061224</v>
      </c>
      <c r="W164" s="217">
        <f>IFERROR((N164-T164)/T164, 0)</f>
        <v/>
      </c>
      <c r="BC164" s="2" t="n"/>
      <c r="BD164" s="2" t="n"/>
      <c r="BE164" s="2" t="n"/>
      <c r="BF164" s="2" t="n"/>
      <c r="BG164" s="2" t="n"/>
      <c r="BH164" s="2" t="n"/>
      <c r="BI164" s="2" t="n"/>
      <c r="BJ164" s="2" t="n"/>
      <c r="BK164" s="2" t="n"/>
      <c r="BL164" s="2" t="n"/>
      <c r="BM164" s="2" t="n"/>
      <c r="BN164" s="2" t="n"/>
      <c r="BO164" s="2" t="n"/>
      <c r="BP164" s="2" t="n"/>
      <c r="BQ164" s="2" t="n"/>
      <c r="BR164" s="2" t="n"/>
      <c r="BS164" s="2" t="n"/>
      <c r="BT164" s="2" t="n"/>
      <c r="BU164" s="2" t="n"/>
      <c r="BV164" s="2" t="n"/>
      <c r="BW164" s="2" t="n"/>
      <c r="BX164" s="2" t="n"/>
      <c r="BY164" s="2" t="n"/>
      <c r="BZ164" s="2" t="n"/>
      <c r="CA164" s="2" t="n"/>
    </row>
    <row r="165" hidden="1" customFormat="1" s="1">
      <c r="A165" s="2" t="n"/>
      <c r="B165" s="30" t="inlineStr">
        <is>
          <t>Ajuste</t>
        </is>
      </c>
      <c r="C165" s="413">
        <f>F165</f>
        <v/>
      </c>
      <c r="D165" s="413" t="inlineStr">
        <is>
          <t>Baixa</t>
        </is>
      </c>
      <c r="E165" s="30">
        <f>CONCATENATE(B165,C165,D165)</f>
        <v/>
      </c>
      <c r="F165" s="9" t="inlineStr">
        <is>
          <t>Estrutura</t>
        </is>
      </c>
      <c r="G165" s="31" t="n"/>
      <c r="H165" s="31">
        <f>($J165/($J$130*100))*(H$130*100)</f>
        <v/>
      </c>
      <c r="I165" s="31">
        <f>($J165/($J$130*100))*(I$130*100)</f>
        <v/>
      </c>
      <c r="J165" s="31">
        <f>P165/(1-$N$130)</f>
        <v/>
      </c>
      <c r="K165" s="31">
        <f>($J165/($J$130*100))*(K$130*100)</f>
        <v/>
      </c>
      <c r="L165" s="31">
        <f>($J165/($J$130*100))*(L$130*100)</f>
        <v/>
      </c>
      <c r="M165" s="31" t="n"/>
      <c r="N165" s="32">
        <f>SUM(H165:L165)</f>
        <v/>
      </c>
      <c r="P165" s="31" t="n">
        <v>25</v>
      </c>
      <c r="T165" s="210" t="n">
        <v>51.0204081632653</v>
      </c>
      <c r="W165" s="217">
        <f>IFERROR((N165-T165)/T165, 0)</f>
        <v/>
      </c>
      <c r="BC165" s="2" t="n"/>
      <c r="BD165" s="2" t="n"/>
      <c r="BE165" s="2" t="n"/>
      <c r="BF165" s="2" t="n"/>
      <c r="BG165" s="2" t="n"/>
      <c r="BH165" s="2" t="n"/>
      <c r="BI165" s="2" t="n"/>
      <c r="BJ165" s="2" t="n"/>
      <c r="BK165" s="2" t="n"/>
      <c r="BL165" s="2" t="n"/>
      <c r="BM165" s="2" t="n"/>
      <c r="BN165" s="2" t="n"/>
      <c r="BO165" s="2" t="n"/>
      <c r="BP165" s="2" t="n"/>
      <c r="BQ165" s="2" t="n"/>
      <c r="BR165" s="2" t="n"/>
      <c r="BS165" s="2" t="n"/>
      <c r="BT165" s="2" t="n"/>
      <c r="BU165" s="2" t="n"/>
      <c r="BV165" s="2" t="n"/>
      <c r="BW165" s="2" t="n"/>
      <c r="BX165" s="2" t="n"/>
      <c r="BY165" s="2" t="n"/>
      <c r="BZ165" s="2" t="n"/>
      <c r="CA165" s="2" t="n"/>
    </row>
    <row r="166" hidden="1" customFormat="1" s="1">
      <c r="A166" s="2" t="n"/>
      <c r="B166" s="30" t="inlineStr">
        <is>
          <t>Ajuste</t>
        </is>
      </c>
      <c r="C166" s="413">
        <f>F166</f>
        <v/>
      </c>
      <c r="D166" s="413" t="inlineStr">
        <is>
          <t>Baixa</t>
        </is>
      </c>
      <c r="E166" s="30">
        <f>CONCATENATE(B166,C166,D166)</f>
        <v/>
      </c>
      <c r="F166" s="9" t="n"/>
      <c r="G166" s="31" t="n"/>
      <c r="H166" s="31">
        <f>($J166/($J$130*100))*(H$130*100)</f>
        <v/>
      </c>
      <c r="I166" s="31">
        <f>($J166/($J$130*100))*(I$130*100)</f>
        <v/>
      </c>
      <c r="J166" s="31">
        <f>P166/(1-$N$130)</f>
        <v/>
      </c>
      <c r="K166" s="31">
        <f>($J166/($J$130*100))*(K$130*100)</f>
        <v/>
      </c>
      <c r="L166" s="31">
        <f>($J166/($J$130*100))*(L$130*100)</f>
        <v/>
      </c>
      <c r="M166" s="31" t="n"/>
      <c r="N166" s="32">
        <f>SUM(H166:L166)</f>
        <v/>
      </c>
      <c r="P166" s="31" t="n"/>
      <c r="BC166" s="2" t="n"/>
      <c r="BD166" s="2" t="n"/>
      <c r="BE166" s="2" t="n"/>
      <c r="BF166" s="2" t="n"/>
      <c r="BG166" s="2" t="n"/>
      <c r="BH166" s="2" t="n"/>
      <c r="BI166" s="2" t="n"/>
      <c r="BJ166" s="2" t="n"/>
      <c r="BK166" s="2" t="n"/>
      <c r="BL166" s="2" t="n"/>
      <c r="BM166" s="2" t="n"/>
      <c r="BN166" s="2" t="n"/>
      <c r="BO166" s="2" t="n"/>
      <c r="BP166" s="2" t="n"/>
      <c r="BQ166" s="2" t="n"/>
      <c r="BR166" s="2" t="n"/>
      <c r="BS166" s="2" t="n"/>
      <c r="BT166" s="2" t="n"/>
      <c r="BU166" s="2" t="n"/>
      <c r="BV166" s="2" t="n"/>
      <c r="BW166" s="2" t="n"/>
      <c r="BX166" s="2" t="n"/>
      <c r="BY166" s="2" t="n"/>
      <c r="BZ166" s="2" t="n"/>
      <c r="CA166" s="2" t="n"/>
    </row>
    <row r="167" hidden="1" customFormat="1" s="1">
      <c r="A167" s="2" t="n"/>
      <c r="B167" s="30" t="inlineStr">
        <is>
          <t>Ajuste</t>
        </is>
      </c>
      <c r="C167" s="413">
        <f>F167</f>
        <v/>
      </c>
      <c r="D167" s="413" t="inlineStr">
        <is>
          <t>Baixa</t>
        </is>
      </c>
      <c r="E167" s="30">
        <f>CONCATENATE(B167,C167,D167)</f>
        <v/>
      </c>
      <c r="F167" s="9" t="n"/>
      <c r="G167" s="31" t="n"/>
      <c r="H167" s="31">
        <f>($J167/($J$130*100))*(H$130*100)</f>
        <v/>
      </c>
      <c r="I167" s="31">
        <f>($J167/($J$130*100))*(I$130*100)</f>
        <v/>
      </c>
      <c r="J167" s="31">
        <f>P167/(1-$N$130)</f>
        <v/>
      </c>
      <c r="K167" s="31">
        <f>($J167/($J$130*100))*(K$130*100)</f>
        <v/>
      </c>
      <c r="L167" s="31">
        <f>($J167/($J$130*100))*(L$130*100)</f>
        <v/>
      </c>
      <c r="M167" s="31" t="n"/>
      <c r="N167" s="32">
        <f>SUM(H167:L167)</f>
        <v/>
      </c>
      <c r="P167" s="31" t="n"/>
      <c r="BC167" s="2" t="n"/>
      <c r="BD167" s="2" t="n"/>
      <c r="BE167" s="2" t="n"/>
      <c r="BF167" s="2" t="n"/>
      <c r="BG167" s="2" t="n"/>
      <c r="BH167" s="2" t="n"/>
      <c r="BI167" s="2" t="n"/>
      <c r="BJ167" s="2" t="n"/>
      <c r="BK167" s="2" t="n"/>
      <c r="BL167" s="2" t="n"/>
      <c r="BM167" s="2" t="n"/>
      <c r="BN167" s="2" t="n"/>
      <c r="BO167" s="2" t="n"/>
      <c r="BP167" s="2" t="n"/>
      <c r="BQ167" s="2" t="n"/>
      <c r="BR167" s="2" t="n"/>
      <c r="BS167" s="2" t="n"/>
      <c r="BT167" s="2" t="n"/>
      <c r="BU167" s="2" t="n"/>
      <c r="BV167" s="2" t="n"/>
      <c r="BW167" s="2" t="n"/>
      <c r="BX167" s="2" t="n"/>
      <c r="BY167" s="2" t="n"/>
      <c r="BZ167" s="2" t="n"/>
      <c r="CA167" s="2" t="n"/>
    </row>
    <row r="168" hidden="1" customFormat="1" s="1">
      <c r="A168" s="2" t="n"/>
      <c r="B168" s="30" t="inlineStr">
        <is>
          <t>Ajuste</t>
        </is>
      </c>
      <c r="C168" s="413">
        <f>F168</f>
        <v/>
      </c>
      <c r="D168" s="413" t="inlineStr">
        <is>
          <t>Baixa</t>
        </is>
      </c>
      <c r="E168" s="30">
        <f>CONCATENATE(B168,C168,D168)</f>
        <v/>
      </c>
      <c r="F168" s="9" t="n"/>
      <c r="G168" s="31" t="n"/>
      <c r="H168" s="31">
        <f>($J168/($J$130*100))*(H$130*100)</f>
        <v/>
      </c>
      <c r="I168" s="31">
        <f>($J168/($J$130*100))*(I$130*100)</f>
        <v/>
      </c>
      <c r="J168" s="31">
        <f>P168/(1-$N$130)</f>
        <v/>
      </c>
      <c r="K168" s="31">
        <f>($J168/($J$130*100))*(K$130*100)</f>
        <v/>
      </c>
      <c r="L168" s="31">
        <f>($J168/($J$130*100))*(L$130*100)</f>
        <v/>
      </c>
      <c r="M168" s="31" t="n"/>
      <c r="N168" s="32">
        <f>SUM(H168:L168)</f>
        <v/>
      </c>
      <c r="P168" s="31" t="n"/>
      <c r="BC168" s="2" t="n"/>
      <c r="BD168" s="2" t="n"/>
      <c r="BE168" s="2" t="n"/>
      <c r="BF168" s="2" t="n"/>
      <c r="BG168" s="2" t="n"/>
      <c r="BH168" s="2" t="n"/>
      <c r="BI168" s="2" t="n"/>
      <c r="BJ168" s="2" t="n"/>
      <c r="BK168" s="2" t="n"/>
      <c r="BL168" s="2" t="n"/>
      <c r="BM168" s="2" t="n"/>
      <c r="BN168" s="2" t="n"/>
      <c r="BO168" s="2" t="n"/>
      <c r="BP168" s="2" t="n"/>
      <c r="BQ168" s="2" t="n"/>
      <c r="BR168" s="2" t="n"/>
      <c r="BS168" s="2" t="n"/>
      <c r="BT168" s="2" t="n"/>
      <c r="BU168" s="2" t="n"/>
      <c r="BV168" s="2" t="n"/>
      <c r="BW168" s="2" t="n"/>
      <c r="BX168" s="2" t="n"/>
      <c r="BY168" s="2" t="n"/>
      <c r="BZ168" s="2" t="n"/>
      <c r="CA168" s="2" t="n"/>
    </row>
    <row r="169" hidden="1" customFormat="1" s="1">
      <c r="A169" s="2" t="n"/>
      <c r="B169" s="30" t="inlineStr">
        <is>
          <t>Ajuste</t>
        </is>
      </c>
      <c r="C169" s="413">
        <f>F169</f>
        <v/>
      </c>
      <c r="D169" s="413" t="inlineStr">
        <is>
          <t>Baixa</t>
        </is>
      </c>
      <c r="E169" s="30">
        <f>CONCATENATE(B169,C169,D169)</f>
        <v/>
      </c>
      <c r="F169" s="9" t="n"/>
      <c r="G169" s="31" t="n"/>
      <c r="H169" s="31">
        <f>($J169/($J$130*100))*(H$130*100)</f>
        <v/>
      </c>
      <c r="I169" s="31">
        <f>($J169/($J$130*100))*(I$130*100)</f>
        <v/>
      </c>
      <c r="J169" s="31">
        <f>P169/(1-$N$130)</f>
        <v/>
      </c>
      <c r="K169" s="31">
        <f>($J169/($J$130*100))*(K$130*100)</f>
        <v/>
      </c>
      <c r="L169" s="31">
        <f>($J169/($J$130*100))*(L$130*100)</f>
        <v/>
      </c>
      <c r="M169" s="31" t="n"/>
      <c r="N169" s="32">
        <f>SUM(H169:L169)</f>
        <v/>
      </c>
      <c r="P169" s="31" t="n"/>
      <c r="BC169" s="2" t="n"/>
      <c r="BD169" s="2" t="n"/>
      <c r="BE169" s="2" t="n"/>
      <c r="BF169" s="2" t="n"/>
      <c r="BG169" s="2" t="n"/>
      <c r="BH169" s="2" t="n"/>
      <c r="BI169" s="2" t="n"/>
      <c r="BJ169" s="2" t="n"/>
      <c r="BK169" s="2" t="n"/>
      <c r="BL169" s="2" t="n"/>
      <c r="BM169" s="2" t="n"/>
      <c r="BN169" s="2" t="n"/>
      <c r="BO169" s="2" t="n"/>
      <c r="BP169" s="2" t="n"/>
      <c r="BQ169" s="2" t="n"/>
      <c r="BR169" s="2" t="n"/>
      <c r="BS169" s="2" t="n"/>
      <c r="BT169" s="2" t="n"/>
      <c r="BU169" s="2" t="n"/>
      <c r="BV169" s="2" t="n"/>
      <c r="BW169" s="2" t="n"/>
      <c r="BX169" s="2" t="n"/>
      <c r="BY169" s="2" t="n"/>
      <c r="BZ169" s="2" t="n"/>
      <c r="CA169" s="2" t="n"/>
    </row>
    <row r="170" hidden="1" customFormat="1" s="1">
      <c r="A170" s="2" t="n"/>
      <c r="B170" s="30" t="inlineStr">
        <is>
          <t>Ajuste</t>
        </is>
      </c>
      <c r="C170" s="413">
        <f>F170</f>
        <v/>
      </c>
      <c r="D170" s="413" t="inlineStr">
        <is>
          <t>Baixa</t>
        </is>
      </c>
      <c r="E170" s="30">
        <f>CONCATENATE(B170,C170,D170)</f>
        <v/>
      </c>
      <c r="F170" s="9" t="n"/>
      <c r="G170" s="33" t="n"/>
      <c r="H170" s="31">
        <f>($J170/($J$130*100))*(H$130*100)</f>
        <v/>
      </c>
      <c r="I170" s="31">
        <f>($J170/($J$130*100))*(I$130*100)</f>
        <v/>
      </c>
      <c r="J170" s="31">
        <f>P170/(1-$N$130)</f>
        <v/>
      </c>
      <c r="K170" s="31">
        <f>($J170/($J$130*100))*(K$130*100)</f>
        <v/>
      </c>
      <c r="L170" s="31">
        <f>($J170/($J$130*100))*(L$130*100)</f>
        <v/>
      </c>
      <c r="M170" s="31" t="n"/>
      <c r="N170" s="32">
        <f>SUM(H170:L170)</f>
        <v/>
      </c>
      <c r="P170" s="31" t="n"/>
      <c r="BC170" s="2" t="n"/>
      <c r="BD170" s="2" t="n"/>
      <c r="BE170" s="2" t="n"/>
      <c r="BF170" s="2" t="n"/>
      <c r="BG170" s="2" t="n"/>
      <c r="BH170" s="2" t="n"/>
      <c r="BI170" s="2" t="n"/>
      <c r="BJ170" s="2" t="n"/>
      <c r="BK170" s="2" t="n"/>
      <c r="BL170" s="2" t="n"/>
      <c r="BM170" s="2" t="n"/>
      <c r="BN170" s="2" t="n"/>
      <c r="BO170" s="2" t="n"/>
      <c r="BP170" s="2" t="n"/>
      <c r="BQ170" s="2" t="n"/>
      <c r="BR170" s="2" t="n"/>
      <c r="BS170" s="2" t="n"/>
      <c r="BT170" s="2" t="n"/>
      <c r="BU170" s="2" t="n"/>
      <c r="BV170" s="2" t="n"/>
      <c r="BW170" s="2" t="n"/>
      <c r="BX170" s="2" t="n"/>
      <c r="BY170" s="2" t="n"/>
      <c r="BZ170" s="2" t="n"/>
      <c r="CA170" s="2" t="n"/>
    </row>
    <row r="171" hidden="1" customFormat="1" s="1">
      <c r="A171" s="2" t="n"/>
      <c r="B171" s="30" t="inlineStr">
        <is>
          <t>Ajuste</t>
        </is>
      </c>
      <c r="C171" s="413">
        <f>F171</f>
        <v/>
      </c>
      <c r="D171" s="413" t="inlineStr">
        <is>
          <t>Baixa</t>
        </is>
      </c>
      <c r="E171" s="30">
        <f>CONCATENATE(B171,C171,D171)</f>
        <v/>
      </c>
      <c r="F171" s="9" t="n"/>
      <c r="G171" s="33" t="n"/>
      <c r="H171" s="31">
        <f>($J171/($J$130*100))*(H$130*100)</f>
        <v/>
      </c>
      <c r="I171" s="31">
        <f>($J171/($J$130*100))*(I$130*100)</f>
        <v/>
      </c>
      <c r="J171" s="31">
        <f>P171/(1-$N$130)</f>
        <v/>
      </c>
      <c r="K171" s="31">
        <f>($J171/($J$130*100))*(K$130*100)</f>
        <v/>
      </c>
      <c r="L171" s="31">
        <f>($J171/($J$130*100))*(L$130*100)</f>
        <v/>
      </c>
      <c r="M171" s="31" t="n"/>
      <c r="N171" s="32">
        <f>SUM(H171:L171)</f>
        <v/>
      </c>
      <c r="P171" s="31" t="n"/>
      <c r="BC171" s="2" t="n"/>
      <c r="BD171" s="2" t="n"/>
      <c r="BE171" s="2" t="n"/>
      <c r="BF171" s="2" t="n"/>
      <c r="BG171" s="2" t="n"/>
      <c r="BH171" s="2" t="n"/>
      <c r="BI171" s="2" t="n"/>
      <c r="BJ171" s="2" t="n"/>
      <c r="BK171" s="2" t="n"/>
      <c r="BL171" s="2" t="n"/>
      <c r="BM171" s="2" t="n"/>
      <c r="BN171" s="2" t="n"/>
      <c r="BO171" s="2" t="n"/>
      <c r="BP171" s="2" t="n"/>
      <c r="BQ171" s="2" t="n"/>
      <c r="BR171" s="2" t="n"/>
      <c r="BS171" s="2" t="n"/>
      <c r="BT171" s="2" t="n"/>
      <c r="BU171" s="2" t="n"/>
      <c r="BV171" s="2" t="n"/>
      <c r="BW171" s="2" t="n"/>
      <c r="BX171" s="2" t="n"/>
      <c r="BY171" s="2" t="n"/>
      <c r="BZ171" s="2" t="n"/>
      <c r="CA171" s="2" t="n"/>
    </row>
    <row r="172" hidden="1" customFormat="1" s="1">
      <c r="A172" s="2" t="n"/>
      <c r="B172" s="30" t="inlineStr">
        <is>
          <t>Ajuste</t>
        </is>
      </c>
      <c r="C172" s="413">
        <f>F172</f>
        <v/>
      </c>
      <c r="D172" s="413" t="inlineStr">
        <is>
          <t>Baixa</t>
        </is>
      </c>
      <c r="E172" s="30">
        <f>CONCATENATE(B172,C172,D172)</f>
        <v/>
      </c>
      <c r="F172" s="9" t="n"/>
      <c r="G172" s="33" t="n"/>
      <c r="H172" s="31">
        <f>($J172/($J$130*100))*(H$130*100)</f>
        <v/>
      </c>
      <c r="I172" s="31">
        <f>($J172/($J$130*100))*(I$130*100)</f>
        <v/>
      </c>
      <c r="J172" s="31">
        <f>P172/(1-$N$130)</f>
        <v/>
      </c>
      <c r="K172" s="31">
        <f>($J172/($J$130*100))*(K$130*100)</f>
        <v/>
      </c>
      <c r="L172" s="31">
        <f>($J172/($J$130*100))*(L$130*100)</f>
        <v/>
      </c>
      <c r="M172" s="31" t="n"/>
      <c r="N172" s="32">
        <f>SUM(H172:L172)</f>
        <v/>
      </c>
      <c r="P172" s="31" t="n"/>
      <c r="BC172" s="2" t="n"/>
      <c r="BD172" s="2" t="n"/>
      <c r="BE172" s="2" t="n"/>
      <c r="BF172" s="2" t="n"/>
      <c r="BG172" s="2" t="n"/>
      <c r="BH172" s="2" t="n"/>
      <c r="BI172" s="2" t="n"/>
      <c r="BJ172" s="2" t="n"/>
      <c r="BK172" s="2" t="n"/>
      <c r="BL172" s="2" t="n"/>
      <c r="BM172" s="2" t="n"/>
      <c r="BN172" s="2" t="n"/>
      <c r="BO172" s="2" t="n"/>
      <c r="BP172" s="2" t="n"/>
      <c r="BQ172" s="2" t="n"/>
      <c r="BR172" s="2" t="n"/>
      <c r="BS172" s="2" t="n"/>
      <c r="BT172" s="2" t="n"/>
      <c r="BU172" s="2" t="n"/>
      <c r="BV172" s="2" t="n"/>
      <c r="BW172" s="2" t="n"/>
      <c r="BX172" s="2" t="n"/>
      <c r="BY172" s="2" t="n"/>
      <c r="BZ172" s="2" t="n"/>
      <c r="CA172" s="2" t="n"/>
    </row>
    <row r="173" hidden="1" customFormat="1" s="1">
      <c r="A173" s="2" t="n"/>
      <c r="B173" s="30" t="inlineStr">
        <is>
          <t>Ajuste</t>
        </is>
      </c>
      <c r="C173" s="413">
        <f>F173</f>
        <v/>
      </c>
      <c r="D173" s="413" t="inlineStr">
        <is>
          <t>Baixa</t>
        </is>
      </c>
      <c r="E173" s="30">
        <f>CONCATENATE(B173,C173,D173)</f>
        <v/>
      </c>
      <c r="F173" s="9" t="n"/>
      <c r="G173" s="33" t="n"/>
      <c r="H173" s="31">
        <f>($J173/($J$130*100))*(H$130*100)</f>
        <v/>
      </c>
      <c r="I173" s="31">
        <f>($J173/($J$130*100))*(I$130*100)</f>
        <v/>
      </c>
      <c r="J173" s="31">
        <f>P173/(1-$N$130)</f>
        <v/>
      </c>
      <c r="K173" s="31">
        <f>($J173/($J$130*100))*(K$130*100)</f>
        <v/>
      </c>
      <c r="L173" s="31">
        <f>($J173/($J$130*100))*(L$130*100)</f>
        <v/>
      </c>
      <c r="M173" s="31" t="n"/>
      <c r="N173" s="32">
        <f>SUM(H173:L173)</f>
        <v/>
      </c>
      <c r="P173" s="31" t="n"/>
      <c r="BC173" s="2" t="n"/>
      <c r="BD173" s="2" t="n"/>
      <c r="BE173" s="2" t="n"/>
      <c r="BF173" s="2" t="n"/>
      <c r="BG173" s="2" t="n"/>
      <c r="BH173" s="2" t="n"/>
      <c r="BI173" s="2" t="n"/>
      <c r="BJ173" s="2" t="n"/>
      <c r="BK173" s="2" t="n"/>
      <c r="BL173" s="2" t="n"/>
      <c r="BM173" s="2" t="n"/>
      <c r="BN173" s="2" t="n"/>
      <c r="BO173" s="2" t="n"/>
      <c r="BP173" s="2" t="n"/>
      <c r="BQ173" s="2" t="n"/>
      <c r="BR173" s="2" t="n"/>
      <c r="BS173" s="2" t="n"/>
      <c r="BT173" s="2" t="n"/>
      <c r="BU173" s="2" t="n"/>
      <c r="BV173" s="2" t="n"/>
      <c r="BW173" s="2" t="n"/>
      <c r="BX173" s="2" t="n"/>
      <c r="BY173" s="2" t="n"/>
      <c r="BZ173" s="2" t="n"/>
      <c r="CA173" s="2" t="n"/>
    </row>
    <row r="174" hidden="1" customFormat="1" s="1">
      <c r="A174" s="2" t="n"/>
      <c r="B174" s="30" t="inlineStr">
        <is>
          <t>Ajuste</t>
        </is>
      </c>
      <c r="C174" s="413">
        <f>F174</f>
        <v/>
      </c>
      <c r="D174" s="413" t="inlineStr">
        <is>
          <t>Baixa</t>
        </is>
      </c>
      <c r="E174" s="30">
        <f>CONCATENATE(B174,C174,D174)</f>
        <v/>
      </c>
      <c r="F174" s="9" t="n"/>
      <c r="G174" s="33" t="n"/>
      <c r="H174" s="31">
        <f>($J174/($J$130*100))*(H$130*100)</f>
        <v/>
      </c>
      <c r="I174" s="31">
        <f>($J174/($J$130*100))*(I$130*100)</f>
        <v/>
      </c>
      <c r="J174" s="31">
        <f>P174/(1-$N$130)</f>
        <v/>
      </c>
      <c r="K174" s="31">
        <f>($J174/($J$130*100))*(K$130*100)</f>
        <v/>
      </c>
      <c r="L174" s="31">
        <f>($J174/($J$130*100))*(L$130*100)</f>
        <v/>
      </c>
      <c r="M174" s="31" t="n"/>
      <c r="N174" s="32">
        <f>SUM(H174:L174)</f>
        <v/>
      </c>
      <c r="P174" s="31" t="n"/>
      <c r="BC174" s="2" t="n"/>
      <c r="BD174" s="2" t="n"/>
      <c r="BE174" s="2" t="n"/>
      <c r="BF174" s="2" t="n"/>
      <c r="BG174" s="2" t="n"/>
      <c r="BH174" s="2" t="n"/>
      <c r="BI174" s="2" t="n"/>
      <c r="BJ174" s="2" t="n"/>
      <c r="BK174" s="2" t="n"/>
      <c r="BL174" s="2" t="n"/>
      <c r="BM174" s="2" t="n"/>
      <c r="BN174" s="2" t="n"/>
      <c r="BO174" s="2" t="n"/>
      <c r="BP174" s="2" t="n"/>
      <c r="BQ174" s="2" t="n"/>
      <c r="BR174" s="2" t="n"/>
      <c r="BS174" s="2" t="n"/>
      <c r="BT174" s="2" t="n"/>
      <c r="BU174" s="2" t="n"/>
      <c r="BV174" s="2" t="n"/>
      <c r="BW174" s="2" t="n"/>
      <c r="BX174" s="2" t="n"/>
      <c r="BY174" s="2" t="n"/>
      <c r="BZ174" s="2" t="n"/>
      <c r="CA174" s="2" t="n"/>
    </row>
    <row r="175" hidden="1" customFormat="1" s="1">
      <c r="A175" s="2" t="n"/>
      <c r="B175" s="30" t="inlineStr">
        <is>
          <t>Ajuste</t>
        </is>
      </c>
      <c r="C175" s="413">
        <f>F175</f>
        <v/>
      </c>
      <c r="D175" s="413" t="inlineStr">
        <is>
          <t>Baixa</t>
        </is>
      </c>
      <c r="E175" s="30">
        <f>CONCATENATE(B175,C175,D175)</f>
        <v/>
      </c>
      <c r="F175" s="9" t="n"/>
      <c r="G175" s="33" t="n"/>
      <c r="H175" s="31">
        <f>($J175/($J$130*100))*(H$130*100)</f>
        <v/>
      </c>
      <c r="I175" s="31">
        <f>($J175/($J$130*100))*(I$130*100)</f>
        <v/>
      </c>
      <c r="J175" s="31">
        <f>P175/(1-$N$130)</f>
        <v/>
      </c>
      <c r="K175" s="31">
        <f>($J175/($J$130*100))*(K$130*100)</f>
        <v/>
      </c>
      <c r="L175" s="31">
        <f>($J175/($J$130*100))*(L$130*100)</f>
        <v/>
      </c>
      <c r="M175" s="31" t="n"/>
      <c r="N175" s="32">
        <f>SUM(H175:L175)</f>
        <v/>
      </c>
      <c r="P175" s="31" t="n"/>
      <c r="BC175" s="2" t="n"/>
      <c r="BD175" s="2" t="n"/>
      <c r="BE175" s="2" t="n"/>
      <c r="BF175" s="2" t="n"/>
      <c r="BG175" s="2" t="n"/>
      <c r="BH175" s="2" t="n"/>
      <c r="BI175" s="2" t="n"/>
      <c r="BJ175" s="2" t="n"/>
      <c r="BK175" s="2" t="n"/>
      <c r="BL175" s="2" t="n"/>
      <c r="BM175" s="2" t="n"/>
      <c r="BN175" s="2" t="n"/>
      <c r="BO175" s="2" t="n"/>
      <c r="BP175" s="2" t="n"/>
      <c r="BQ175" s="2" t="n"/>
      <c r="BR175" s="2" t="n"/>
      <c r="BS175" s="2" t="n"/>
      <c r="BT175" s="2" t="n"/>
      <c r="BU175" s="2" t="n"/>
      <c r="BV175" s="2" t="n"/>
      <c r="BW175" s="2" t="n"/>
      <c r="BX175" s="2" t="n"/>
      <c r="BY175" s="2" t="n"/>
      <c r="BZ175" s="2" t="n"/>
      <c r="CA175" s="2" t="n"/>
    </row>
    <row r="176" hidden="1" customFormat="1" s="1">
      <c r="A176" s="2" t="n"/>
      <c r="B176" s="30" t="inlineStr">
        <is>
          <t>Ajuste</t>
        </is>
      </c>
      <c r="C176" s="413">
        <f>F176</f>
        <v/>
      </c>
      <c r="D176" s="413" t="inlineStr">
        <is>
          <t>Baixa</t>
        </is>
      </c>
      <c r="E176" s="30">
        <f>CONCATENATE(B176,C176,D176)</f>
        <v/>
      </c>
      <c r="F176" s="9" t="n"/>
      <c r="G176" s="33" t="n"/>
      <c r="H176" s="31">
        <f>($J176/($J$130*100))*(H$130*100)</f>
        <v/>
      </c>
      <c r="I176" s="31">
        <f>($J176/($J$130*100))*(I$130*100)</f>
        <v/>
      </c>
      <c r="J176" s="31">
        <f>P176/(1-$N$130)</f>
        <v/>
      </c>
      <c r="K176" s="31">
        <f>($J176/($J$130*100))*(K$130*100)</f>
        <v/>
      </c>
      <c r="L176" s="31">
        <f>($J176/($J$130*100))*(L$130*100)</f>
        <v/>
      </c>
      <c r="M176" s="31" t="n"/>
      <c r="N176" s="32">
        <f>SUM(H176:L176)</f>
        <v/>
      </c>
      <c r="P176" s="31" t="n"/>
      <c r="BC176" s="2" t="n"/>
      <c r="BD176" s="2" t="n"/>
      <c r="BE176" s="2" t="n"/>
      <c r="BF176" s="2" t="n"/>
      <c r="BG176" s="2" t="n"/>
      <c r="BH176" s="2" t="n"/>
      <c r="BI176" s="2" t="n"/>
      <c r="BJ176" s="2" t="n"/>
      <c r="BK176" s="2" t="n"/>
      <c r="BL176" s="2" t="n"/>
      <c r="BM176" s="2" t="n"/>
      <c r="BN176" s="2" t="n"/>
      <c r="BO176" s="2" t="n"/>
      <c r="BP176" s="2" t="n"/>
      <c r="BQ176" s="2" t="n"/>
      <c r="BR176" s="2" t="n"/>
      <c r="BS176" s="2" t="n"/>
      <c r="BT176" s="2" t="n"/>
      <c r="BU176" s="2" t="n"/>
      <c r="BV176" s="2" t="n"/>
      <c r="BW176" s="2" t="n"/>
      <c r="BX176" s="2" t="n"/>
      <c r="BY176" s="2" t="n"/>
      <c r="BZ176" s="2" t="n"/>
      <c r="CA176" s="2" t="n"/>
    </row>
    <row r="177" hidden="1" customFormat="1" s="1">
      <c r="A177" s="2" t="n"/>
      <c r="B177" s="2" t="n"/>
      <c r="BC177" s="2" t="n"/>
      <c r="BD177" s="2" t="n"/>
      <c r="BE177" s="2" t="n"/>
      <c r="BF177" s="2" t="n"/>
      <c r="BG177" s="2" t="n"/>
      <c r="BH177" s="2" t="n"/>
      <c r="BI177" s="2" t="n"/>
      <c r="BJ177" s="2" t="n"/>
      <c r="BK177" s="2" t="n"/>
      <c r="BL177" s="2" t="n"/>
      <c r="BM177" s="2" t="n"/>
      <c r="BN177" s="2" t="n"/>
      <c r="BO177" s="2" t="n"/>
      <c r="BP177" s="2" t="n"/>
      <c r="BQ177" s="2" t="n"/>
      <c r="BR177" s="2" t="n"/>
      <c r="BS177" s="2" t="n"/>
      <c r="BT177" s="2" t="n"/>
      <c r="BU177" s="2" t="n"/>
      <c r="BV177" s="2" t="n"/>
      <c r="BW177" s="2" t="n"/>
      <c r="BX177" s="2" t="n"/>
      <c r="BY177" s="2" t="n"/>
      <c r="BZ177" s="2" t="n"/>
      <c r="CA177" s="2" t="n"/>
    </row>
    <row r="178" hidden="1" customFormat="1" s="1">
      <c r="A178" s="2" t="n"/>
      <c r="B178" s="2" t="n"/>
      <c r="BC178" s="2" t="n"/>
      <c r="BD178" s="2" t="n"/>
      <c r="BE178" s="2" t="n"/>
      <c r="BF178" s="2" t="n"/>
      <c r="BG178" s="2" t="n"/>
      <c r="BH178" s="2" t="n"/>
      <c r="BI178" s="2" t="n"/>
      <c r="BJ178" s="2" t="n"/>
      <c r="BK178" s="2" t="n"/>
      <c r="BL178" s="2" t="n"/>
      <c r="BM178" s="2" t="n"/>
      <c r="BN178" s="2" t="n"/>
      <c r="BO178" s="2" t="n"/>
      <c r="BP178" s="2" t="n"/>
      <c r="BQ178" s="2" t="n"/>
      <c r="BR178" s="2" t="n"/>
      <c r="BS178" s="2" t="n"/>
      <c r="BT178" s="2" t="n"/>
      <c r="BU178" s="2" t="n"/>
      <c r="BV178" s="2" t="n"/>
      <c r="BW178" s="2" t="n"/>
      <c r="BX178" s="2" t="n"/>
      <c r="BY178" s="2" t="n"/>
      <c r="BZ178" s="2" t="n"/>
      <c r="CA178" s="2" t="n"/>
    </row>
    <row r="179" hidden="1" ht="13.9" customFormat="1" customHeight="1" s="1" thickBot="1">
      <c r="A179" s="2" t="n"/>
      <c r="B179" s="2" t="n"/>
      <c r="BC179" s="2" t="n"/>
      <c r="BD179" s="2" t="n"/>
      <c r="BE179" s="2" t="n"/>
      <c r="BF179" s="2" t="n"/>
      <c r="BG179" s="2" t="n"/>
      <c r="BH179" s="2" t="n"/>
      <c r="BI179" s="2" t="n"/>
      <c r="BJ179" s="2" t="n"/>
      <c r="BK179" s="2" t="n"/>
      <c r="BL179" s="2" t="n"/>
      <c r="BM179" s="2" t="n"/>
      <c r="BN179" s="2" t="n"/>
      <c r="BO179" s="2" t="n"/>
      <c r="BP179" s="2" t="n"/>
      <c r="BQ179" s="2" t="n"/>
      <c r="BR179" s="2" t="n"/>
      <c r="BS179" s="2" t="n"/>
      <c r="BT179" s="2" t="n"/>
      <c r="BU179" s="2" t="n"/>
      <c r="BV179" s="2" t="n"/>
      <c r="BW179" s="2" t="n"/>
      <c r="BX179" s="2" t="n"/>
      <c r="BY179" s="2" t="n"/>
      <c r="BZ179" s="2" t="n"/>
      <c r="CA179" s="2" t="n"/>
    </row>
    <row r="180" hidden="1" customFormat="1" s="1">
      <c r="A180" s="2" t="n"/>
      <c r="B180" s="86" t="n"/>
      <c r="C180" s="86" t="n"/>
      <c r="D180" s="86" t="n"/>
      <c r="E180" s="86" t="n"/>
      <c r="F180" s="28" t="inlineStr">
        <is>
          <t>Complexidade</t>
        </is>
      </c>
      <c r="G180" s="88" t="inlineStr">
        <is>
          <t>Média</t>
        </is>
      </c>
      <c r="H180" s="89" t="n"/>
      <c r="I180" s="89" t="n"/>
      <c r="J180" s="89" t="n"/>
      <c r="K180" s="89" t="n"/>
      <c r="L180" s="89" t="n"/>
      <c r="M180" s="89" t="n"/>
      <c r="N180" s="90" t="n"/>
      <c r="P180" s="89" t="n"/>
      <c r="BC180" s="2" t="n"/>
      <c r="BD180" s="2" t="n"/>
      <c r="BE180" s="2" t="n"/>
      <c r="BF180" s="2" t="n"/>
      <c r="BG180" s="2" t="n"/>
      <c r="BH180" s="2" t="n"/>
      <c r="BI180" s="2" t="n"/>
      <c r="BJ180" s="2" t="n"/>
      <c r="BK180" s="2" t="n"/>
      <c r="BL180" s="2" t="n"/>
      <c r="BM180" s="2" t="n"/>
      <c r="BN180" s="2" t="n"/>
      <c r="BO180" s="2" t="n"/>
      <c r="BP180" s="2" t="n"/>
      <c r="BQ180" s="2" t="n"/>
      <c r="BR180" s="2" t="n"/>
      <c r="BS180" s="2" t="n"/>
      <c r="BT180" s="2" t="n"/>
      <c r="BU180" s="2" t="n"/>
      <c r="BV180" s="2" t="n"/>
      <c r="BW180" s="2" t="n"/>
      <c r="BX180" s="2" t="n"/>
      <c r="BY180" s="2" t="n"/>
      <c r="BZ180" s="2" t="n"/>
      <c r="CA180" s="2" t="n"/>
    </row>
    <row r="181" hidden="1" ht="13.9" customFormat="1" customHeight="1" s="1" thickBot="1">
      <c r="A181" s="2" t="n"/>
      <c r="B181" s="86" t="n"/>
      <c r="C181" s="86" t="n"/>
      <c r="D181" s="86" t="n"/>
      <c r="E181" s="86" t="n"/>
      <c r="F181" s="29" t="inlineStr">
        <is>
          <t>Elemento</t>
        </is>
      </c>
      <c r="G181" s="29" t="n"/>
      <c r="H181" s="29" t="inlineStr">
        <is>
          <t>EF</t>
        </is>
      </c>
      <c r="I181" s="29" t="inlineStr">
        <is>
          <t>ET</t>
        </is>
      </c>
      <c r="J181" s="29" t="inlineStr">
        <is>
          <t>DE</t>
        </is>
      </c>
      <c r="K181" s="29" t="inlineStr">
        <is>
          <t>TE</t>
        </is>
      </c>
      <c r="L181" s="29" t="inlineStr">
        <is>
          <t>HML</t>
        </is>
      </c>
      <c r="M181" s="29" t="n"/>
      <c r="N181" s="29" t="inlineStr">
        <is>
          <t>TO</t>
        </is>
      </c>
      <c r="P181" s="29" t="inlineStr">
        <is>
          <t>DE</t>
        </is>
      </c>
      <c r="BC181" s="2" t="n"/>
      <c r="BD181" s="2" t="n"/>
      <c r="BE181" s="2" t="n"/>
      <c r="BF181" s="2" t="n"/>
      <c r="BG181" s="2" t="n"/>
      <c r="BH181" s="2" t="n"/>
      <c r="BI181" s="2" t="n"/>
      <c r="BJ181" s="2" t="n"/>
      <c r="BK181" s="2" t="n"/>
      <c r="BL181" s="2" t="n"/>
      <c r="BM181" s="2" t="n"/>
      <c r="BN181" s="2" t="n"/>
      <c r="BO181" s="2" t="n"/>
      <c r="BP181" s="2" t="n"/>
      <c r="BQ181" s="2" t="n"/>
      <c r="BR181" s="2" t="n"/>
      <c r="BS181" s="2" t="n"/>
      <c r="BT181" s="2" t="n"/>
      <c r="BU181" s="2" t="n"/>
      <c r="BV181" s="2" t="n"/>
      <c r="BW181" s="2" t="n"/>
      <c r="BX181" s="2" t="n"/>
      <c r="BY181" s="2" t="n"/>
      <c r="BZ181" s="2" t="n"/>
      <c r="CA181" s="2" t="n"/>
    </row>
    <row r="182" hidden="1" customFormat="1" s="1">
      <c r="A182" s="2" t="n"/>
      <c r="B182" s="413" t="inlineStr">
        <is>
          <t>Novo</t>
        </is>
      </c>
      <c r="C182" s="413">
        <f>F182</f>
        <v/>
      </c>
      <c r="D182" s="413" t="inlineStr">
        <is>
          <t>Média</t>
        </is>
      </c>
      <c r="E182" s="30">
        <f>CONCATENATE(B182,C182,D182)</f>
        <v/>
      </c>
      <c r="F182" s="5" t="inlineStr">
        <is>
          <t>Apresentação</t>
        </is>
      </c>
      <c r="G182" s="31" t="n"/>
      <c r="H182" s="31">
        <f>($J182/($J$130*100))*(H$130*100)</f>
        <v/>
      </c>
      <c r="I182" s="31">
        <f>($J182/($J$130*100))*(I$130*100)</f>
        <v/>
      </c>
      <c r="J182" s="31">
        <f>P182/(1-$N$130)</f>
        <v/>
      </c>
      <c r="K182" s="31">
        <f>($J182/($J$130*100))*(K$130*100)</f>
        <v/>
      </c>
      <c r="L182" s="31">
        <f>($J182/($J$130*100))*(L$130*100)</f>
        <v/>
      </c>
      <c r="M182" s="31" t="n"/>
      <c r="N182" s="32">
        <f>SUM(H182:L182)</f>
        <v/>
      </c>
      <c r="P182" s="31" t="n">
        <v>24</v>
      </c>
      <c r="T182" s="209" t="n">
        <v>48.97959183673469</v>
      </c>
      <c r="W182" s="217">
        <f>IFERROR((N182-T182)/T182, 0)</f>
        <v/>
      </c>
      <c r="BC182" s="2" t="n"/>
      <c r="BD182" s="2" t="n"/>
      <c r="BE182" s="2" t="n"/>
      <c r="BF182" s="2" t="n"/>
      <c r="BG182" s="2" t="n"/>
      <c r="BH182" s="2" t="n"/>
      <c r="BI182" s="2" t="n"/>
      <c r="BJ182" s="2" t="n"/>
      <c r="BK182" s="2" t="n"/>
      <c r="BL182" s="2" t="n"/>
      <c r="BM182" s="2" t="n"/>
      <c r="BN182" s="2" t="n"/>
      <c r="BO182" s="2" t="n"/>
      <c r="BP182" s="2" t="n"/>
      <c r="BQ182" s="2" t="n"/>
      <c r="BR182" s="2" t="n"/>
      <c r="BS182" s="2" t="n"/>
      <c r="BT182" s="2" t="n"/>
      <c r="BU182" s="2" t="n"/>
      <c r="BV182" s="2" t="n"/>
      <c r="BW182" s="2" t="n"/>
      <c r="BX182" s="2" t="n"/>
      <c r="BY182" s="2" t="n"/>
      <c r="BZ182" s="2" t="n"/>
      <c r="CA182" s="2" t="n"/>
    </row>
    <row r="183" hidden="1" customFormat="1" s="1">
      <c r="A183" s="2" t="n"/>
      <c r="B183" s="413" t="inlineStr">
        <is>
          <t>Novo</t>
        </is>
      </c>
      <c r="C183" s="413">
        <f>F183</f>
        <v/>
      </c>
      <c r="D183" s="413" t="inlineStr">
        <is>
          <t>Média</t>
        </is>
      </c>
      <c r="E183" s="30">
        <f>CONCATENATE(B183,C183,D183)</f>
        <v/>
      </c>
      <c r="F183" s="5" t="inlineStr">
        <is>
          <t>Workflow</t>
        </is>
      </c>
      <c r="G183" s="31" t="n"/>
      <c r="H183" s="31">
        <f>($J183/($J$130*100))*(H$130*100)</f>
        <v/>
      </c>
      <c r="I183" s="31">
        <f>($J183/($J$130*100))*(I$130*100)</f>
        <v/>
      </c>
      <c r="J183" s="31">
        <f>P183/(1-$N$130)</f>
        <v/>
      </c>
      <c r="K183" s="31">
        <f>($J183/($J$130*100))*(K$130*100)</f>
        <v/>
      </c>
      <c r="L183" s="31">
        <f>($J183/($J$130*100))*(L$130*100)</f>
        <v/>
      </c>
      <c r="M183" s="31" t="n"/>
      <c r="N183" s="32">
        <f>SUM(H183:L183)</f>
        <v/>
      </c>
      <c r="P183" s="31" t="n">
        <v>60</v>
      </c>
      <c r="T183" s="210" t="n">
        <v>122.4489795918367</v>
      </c>
      <c r="W183" s="217">
        <f>IFERROR((N183-T183)/T183, 0)</f>
        <v/>
      </c>
      <c r="BC183" s="2" t="n"/>
      <c r="BD183" s="2" t="n"/>
      <c r="BE183" s="2" t="n"/>
      <c r="BF183" s="2" t="n"/>
      <c r="BG183" s="2" t="n"/>
      <c r="BH183" s="2" t="n"/>
      <c r="BI183" s="2" t="n"/>
      <c r="BJ183" s="2" t="n"/>
      <c r="BK183" s="2" t="n"/>
      <c r="BL183" s="2" t="n"/>
      <c r="BM183" s="2" t="n"/>
      <c r="BN183" s="2" t="n"/>
      <c r="BO183" s="2" t="n"/>
      <c r="BP183" s="2" t="n"/>
      <c r="BQ183" s="2" t="n"/>
      <c r="BR183" s="2" t="n"/>
      <c r="BS183" s="2" t="n"/>
      <c r="BT183" s="2" t="n"/>
      <c r="BU183" s="2" t="n"/>
      <c r="BV183" s="2" t="n"/>
      <c r="BW183" s="2" t="n"/>
      <c r="BX183" s="2" t="n"/>
      <c r="BY183" s="2" t="n"/>
      <c r="BZ183" s="2" t="n"/>
      <c r="CA183" s="2" t="n"/>
    </row>
    <row r="184" hidden="1" customFormat="1" s="1">
      <c r="A184" s="2" t="n"/>
      <c r="B184" s="413" t="inlineStr">
        <is>
          <t>Novo</t>
        </is>
      </c>
      <c r="C184" s="413">
        <f>F184</f>
        <v/>
      </c>
      <c r="D184" s="413" t="inlineStr">
        <is>
          <t>Média</t>
        </is>
      </c>
      <c r="E184" s="30">
        <f>CONCATENATE(B184,C184,D184)</f>
        <v/>
      </c>
      <c r="F184" s="5" t="inlineStr">
        <is>
          <t>Estrutura</t>
        </is>
      </c>
      <c r="G184" s="31" t="n"/>
      <c r="H184" s="31">
        <f>($J184/($J$130*100))*(H$130*100)</f>
        <v/>
      </c>
      <c r="I184" s="31">
        <f>($J184/($J$130*100))*(I$130*100)</f>
        <v/>
      </c>
      <c r="J184" s="31">
        <f>P184/(1-$N$130)</f>
        <v/>
      </c>
      <c r="K184" s="31">
        <f>($J184/($J$130*100))*(K$130*100)</f>
        <v/>
      </c>
      <c r="L184" s="31">
        <f>($J184/($J$130*100))*(L$130*100)</f>
        <v/>
      </c>
      <c r="M184" s="31" t="n"/>
      <c r="N184" s="32">
        <f>SUM(H184:L184)</f>
        <v/>
      </c>
      <c r="P184" s="31" t="n">
        <v>60</v>
      </c>
      <c r="T184" s="210" t="n">
        <v>122.4489795918367</v>
      </c>
      <c r="W184" s="217">
        <f>IFERROR((N184-T184)/T184, 0)</f>
        <v/>
      </c>
      <c r="BC184" s="2" t="n"/>
      <c r="BD184" s="2" t="n"/>
      <c r="BE184" s="2" t="n"/>
      <c r="BF184" s="2" t="n"/>
      <c r="BG184" s="2" t="n"/>
      <c r="BH184" s="2" t="n"/>
      <c r="BI184" s="2" t="n"/>
      <c r="BJ184" s="2" t="n"/>
      <c r="BK184" s="2" t="n"/>
      <c r="BL184" s="2" t="n"/>
      <c r="BM184" s="2" t="n"/>
      <c r="BN184" s="2" t="n"/>
      <c r="BO184" s="2" t="n"/>
      <c r="BP184" s="2" t="n"/>
      <c r="BQ184" s="2" t="n"/>
      <c r="BR184" s="2" t="n"/>
      <c r="BS184" s="2" t="n"/>
      <c r="BT184" s="2" t="n"/>
      <c r="BU184" s="2" t="n"/>
      <c r="BV184" s="2" t="n"/>
      <c r="BW184" s="2" t="n"/>
      <c r="BX184" s="2" t="n"/>
      <c r="BY184" s="2" t="n"/>
      <c r="BZ184" s="2" t="n"/>
      <c r="CA184" s="2" t="n"/>
    </row>
    <row r="185" hidden="1" customFormat="1" s="1">
      <c r="A185" s="2" t="n"/>
      <c r="B185" s="413" t="inlineStr">
        <is>
          <t>Novo</t>
        </is>
      </c>
      <c r="C185" s="413">
        <f>F185</f>
        <v/>
      </c>
      <c r="D185" s="413" t="inlineStr">
        <is>
          <t>Média</t>
        </is>
      </c>
      <c r="E185" s="30">
        <f>CONCATENATE(B185,C185,D185)</f>
        <v/>
      </c>
      <c r="F185" s="5" t="inlineStr">
        <is>
          <t>Treinamento / Manual</t>
        </is>
      </c>
      <c r="G185" s="31" t="n"/>
      <c r="H185" s="31" t="n">
        <v>0</v>
      </c>
      <c r="I185" s="31" t="n">
        <v>0</v>
      </c>
      <c r="J185" s="31">
        <f>P185/(1-$N$130)</f>
        <v/>
      </c>
      <c r="K185" s="31" t="n">
        <v>0</v>
      </c>
      <c r="L185" s="31" t="n">
        <v>0</v>
      </c>
      <c r="M185" s="31" t="n"/>
      <c r="N185" s="32">
        <f>SUM(H185:L185)</f>
        <v/>
      </c>
      <c r="P185" s="31" t="n">
        <v>16</v>
      </c>
      <c r="T185" s="210" t="n">
        <v>16</v>
      </c>
      <c r="W185" s="217">
        <f>IFERROR((N185-T185)/T185, 0)</f>
        <v/>
      </c>
      <c r="BC185" s="2" t="n"/>
      <c r="BD185" s="2" t="n"/>
      <c r="BE185" s="2" t="n"/>
      <c r="BF185" s="2" t="n"/>
      <c r="BG185" s="2" t="n"/>
      <c r="BH185" s="2" t="n"/>
      <c r="BI185" s="2" t="n"/>
      <c r="BJ185" s="2" t="n"/>
      <c r="BK185" s="2" t="n"/>
      <c r="BL185" s="2" t="n"/>
      <c r="BM185" s="2" t="n"/>
      <c r="BN185" s="2" t="n"/>
      <c r="BO185" s="2" t="n"/>
      <c r="BP185" s="2" t="n"/>
      <c r="BQ185" s="2" t="n"/>
      <c r="BR185" s="2" t="n"/>
      <c r="BS185" s="2" t="n"/>
      <c r="BT185" s="2" t="n"/>
      <c r="BU185" s="2" t="n"/>
      <c r="BV185" s="2" t="n"/>
      <c r="BW185" s="2" t="n"/>
      <c r="BX185" s="2" t="n"/>
      <c r="BY185" s="2" t="n"/>
      <c r="BZ185" s="2" t="n"/>
      <c r="CA185" s="2" t="n"/>
    </row>
    <row r="186" hidden="1" customFormat="1" s="1">
      <c r="A186" s="2" t="n"/>
      <c r="B186" s="413" t="inlineStr">
        <is>
          <t>Novo</t>
        </is>
      </c>
      <c r="C186" s="413">
        <f>F186</f>
        <v/>
      </c>
      <c r="D186" s="413" t="inlineStr">
        <is>
          <t>Média</t>
        </is>
      </c>
      <c r="E186" s="30">
        <f>CONCATENATE(B186,C186,D186)</f>
        <v/>
      </c>
      <c r="F186" s="5" t="inlineStr">
        <is>
          <t>Tarefa padrão</t>
        </is>
      </c>
      <c r="G186" s="31" t="n"/>
      <c r="H186" s="31">
        <f>($J186/($J$130*100))*(H$130*100)</f>
        <v/>
      </c>
      <c r="I186" s="31">
        <f>($J186/($J$130*100))*(I$130*100)</f>
        <v/>
      </c>
      <c r="J186" s="31">
        <f>P186/(1-$N$130)</f>
        <v/>
      </c>
      <c r="K186" s="31">
        <f>($J186/($J$130*100))*(K$130*100)</f>
        <v/>
      </c>
      <c r="L186" s="31">
        <f>($J186/($J$130*100))*(L$130*100)</f>
        <v/>
      </c>
      <c r="M186" s="31" t="n"/>
      <c r="N186" s="32">
        <f>SUM(H186:L186)</f>
        <v/>
      </c>
      <c r="P186" s="31" t="n">
        <v>0</v>
      </c>
      <c r="T186" s="210" t="n">
        <v>0</v>
      </c>
      <c r="W186" s="217">
        <f>IFERROR((N186-T186)/T186, 0)</f>
        <v/>
      </c>
      <c r="BC186" s="2" t="n"/>
      <c r="BD186" s="2" t="n"/>
      <c r="BE186" s="2" t="n"/>
      <c r="BF186" s="2" t="n"/>
      <c r="BG186" s="2" t="n"/>
      <c r="BH186" s="2" t="n"/>
      <c r="BI186" s="2" t="n"/>
      <c r="BJ186" s="2" t="n"/>
      <c r="BK186" s="2" t="n"/>
      <c r="BL186" s="2" t="n"/>
      <c r="BM186" s="2" t="n"/>
      <c r="BN186" s="2" t="n"/>
      <c r="BO186" s="2" t="n"/>
      <c r="BP186" s="2" t="n"/>
      <c r="BQ186" s="2" t="n"/>
      <c r="BR186" s="2" t="n"/>
      <c r="BS186" s="2" t="n"/>
      <c r="BT186" s="2" t="n"/>
      <c r="BU186" s="2" t="n"/>
      <c r="BV186" s="2" t="n"/>
      <c r="BW186" s="2" t="n"/>
      <c r="BX186" s="2" t="n"/>
      <c r="BY186" s="2" t="n"/>
      <c r="BZ186" s="2" t="n"/>
      <c r="CA186" s="2" t="n"/>
    </row>
    <row r="187" hidden="1" customFormat="1" s="1">
      <c r="A187" s="2" t="n"/>
      <c r="B187" s="30" t="inlineStr">
        <is>
          <t>Ajuste</t>
        </is>
      </c>
      <c r="C187" s="413">
        <f>F187</f>
        <v/>
      </c>
      <c r="D187" s="413" t="inlineStr">
        <is>
          <t>Média</t>
        </is>
      </c>
      <c r="E187" s="30">
        <f>CONCATENATE(B187,C187,D187)</f>
        <v/>
      </c>
      <c r="F187" s="9" t="inlineStr">
        <is>
          <t>Apresentação</t>
        </is>
      </c>
      <c r="G187" s="31" t="n"/>
      <c r="H187" s="31">
        <f>($J187/($J$130*100))*(H$130*100)</f>
        <v/>
      </c>
      <c r="I187" s="31">
        <f>($J187/($J$130*100))*(I$130*100)</f>
        <v/>
      </c>
      <c r="J187" s="31">
        <f>P187/(1-$N$130)</f>
        <v/>
      </c>
      <c r="K187" s="31">
        <f>($J187/($J$130*100))*(K$130*100)</f>
        <v/>
      </c>
      <c r="L187" s="31">
        <f>($J187/($J$130*100))*(L$130*100)</f>
        <v/>
      </c>
      <c r="M187" s="31" t="n"/>
      <c r="N187" s="32">
        <f>SUM(H187:L187)</f>
        <v/>
      </c>
      <c r="P187" s="31" t="n">
        <v>12</v>
      </c>
      <c r="T187" s="210" t="n">
        <v>24.48979591836735</v>
      </c>
      <c r="W187" s="217">
        <f>IFERROR((N187-T187)/T187, 0)</f>
        <v/>
      </c>
      <c r="BC187" s="2" t="n"/>
      <c r="BD187" s="2" t="n"/>
      <c r="BE187" s="2" t="n"/>
      <c r="BF187" s="2" t="n"/>
      <c r="BG187" s="2" t="n"/>
      <c r="BH187" s="2" t="n"/>
      <c r="BI187" s="2" t="n"/>
      <c r="BJ187" s="2" t="n"/>
      <c r="BK187" s="2" t="n"/>
      <c r="BL187" s="2" t="n"/>
      <c r="BM187" s="2" t="n"/>
      <c r="BN187" s="2" t="n"/>
      <c r="BO187" s="2" t="n"/>
      <c r="BP187" s="2" t="n"/>
      <c r="BQ187" s="2" t="n"/>
      <c r="BR187" s="2" t="n"/>
      <c r="BS187" s="2" t="n"/>
      <c r="BT187" s="2" t="n"/>
      <c r="BU187" s="2" t="n"/>
      <c r="BV187" s="2" t="n"/>
      <c r="BW187" s="2" t="n"/>
      <c r="BX187" s="2" t="n"/>
      <c r="BY187" s="2" t="n"/>
      <c r="BZ187" s="2" t="n"/>
      <c r="CA187" s="2" t="n"/>
    </row>
    <row r="188" hidden="1" customFormat="1" s="1">
      <c r="A188" s="2" t="n"/>
      <c r="B188" s="30" t="inlineStr">
        <is>
          <t>Ajuste</t>
        </is>
      </c>
      <c r="C188" s="413">
        <f>F188</f>
        <v/>
      </c>
      <c r="D188" s="413" t="inlineStr">
        <is>
          <t>Média</t>
        </is>
      </c>
      <c r="E188" s="30">
        <f>CONCATENATE(B188,C188,D188)</f>
        <v/>
      </c>
      <c r="F188" s="9" t="inlineStr">
        <is>
          <t>Workflow</t>
        </is>
      </c>
      <c r="G188" s="31" t="n"/>
      <c r="H188" s="31">
        <f>($J188/($J$130*100))*(H$130*100)</f>
        <v/>
      </c>
      <c r="I188" s="31">
        <f>($J188/($J$130*100))*(I$130*100)</f>
        <v/>
      </c>
      <c r="J188" s="31">
        <f>P188/(1-$N$130)</f>
        <v/>
      </c>
      <c r="K188" s="31">
        <f>($J188/($J$130*100))*(K$130*100)</f>
        <v/>
      </c>
      <c r="L188" s="31">
        <f>($J188/($J$130*100))*(L$130*100)</f>
        <v/>
      </c>
      <c r="M188" s="31" t="n"/>
      <c r="N188" s="32">
        <f>SUM(H188:L188)</f>
        <v/>
      </c>
      <c r="P188" s="31" t="n">
        <v>30</v>
      </c>
      <c r="T188" s="210" t="n">
        <v>61.22448979591837</v>
      </c>
      <c r="W188" s="217">
        <f>IFERROR((N188-T188)/T188, 0)</f>
        <v/>
      </c>
      <c r="BC188" s="2" t="n"/>
      <c r="BD188" s="2" t="n"/>
      <c r="BE188" s="2" t="n"/>
      <c r="BF188" s="2" t="n"/>
      <c r="BG188" s="2" t="n"/>
      <c r="BH188" s="2" t="n"/>
      <c r="BI188" s="2" t="n"/>
      <c r="BJ188" s="2" t="n"/>
      <c r="BK188" s="2" t="n"/>
      <c r="BL188" s="2" t="n"/>
      <c r="BM188" s="2" t="n"/>
      <c r="BN188" s="2" t="n"/>
      <c r="BO188" s="2" t="n"/>
      <c r="BP188" s="2" t="n"/>
      <c r="BQ188" s="2" t="n"/>
      <c r="BR188" s="2" t="n"/>
      <c r="BS188" s="2" t="n"/>
      <c r="BT188" s="2" t="n"/>
      <c r="BU188" s="2" t="n"/>
      <c r="BV188" s="2" t="n"/>
      <c r="BW188" s="2" t="n"/>
      <c r="BX188" s="2" t="n"/>
      <c r="BY188" s="2" t="n"/>
      <c r="BZ188" s="2" t="n"/>
      <c r="CA188" s="2" t="n"/>
    </row>
    <row r="189" hidden="1" customFormat="1" s="1">
      <c r="A189" s="2" t="n"/>
      <c r="B189" s="30" t="inlineStr">
        <is>
          <t>Ajuste</t>
        </is>
      </c>
      <c r="C189" s="413">
        <f>F189</f>
        <v/>
      </c>
      <c r="D189" s="413" t="inlineStr">
        <is>
          <t>Média</t>
        </is>
      </c>
      <c r="E189" s="30">
        <f>CONCATENATE(B189,C189,D189)</f>
        <v/>
      </c>
      <c r="F189" s="9" t="inlineStr">
        <is>
          <t>Estrutura</t>
        </is>
      </c>
      <c r="G189" s="31" t="n"/>
      <c r="H189" s="31">
        <f>($J189/($J$130*100))*(H$130*100)</f>
        <v/>
      </c>
      <c r="I189" s="31">
        <f>($J189/($J$130*100))*(I$130*100)</f>
        <v/>
      </c>
      <c r="J189" s="31">
        <f>P189/(1-$N$130)</f>
        <v/>
      </c>
      <c r="K189" s="31">
        <f>($J189/($J$130*100))*(K$130*100)</f>
        <v/>
      </c>
      <c r="L189" s="31">
        <f>($J189/($J$130*100))*(L$130*100)</f>
        <v/>
      </c>
      <c r="M189" s="31" t="n"/>
      <c r="N189" s="32">
        <f>SUM(H189:L189)</f>
        <v/>
      </c>
      <c r="P189" s="31" t="n">
        <v>30</v>
      </c>
      <c r="T189" s="210" t="n">
        <v>61.22448979591837</v>
      </c>
      <c r="W189" s="217">
        <f>IFERROR((N189-T189)/T189, 0)</f>
        <v/>
      </c>
      <c r="BC189" s="2" t="n"/>
      <c r="BD189" s="2" t="n"/>
      <c r="BE189" s="2" t="n"/>
      <c r="BF189" s="2" t="n"/>
      <c r="BG189" s="2" t="n"/>
      <c r="BH189" s="2" t="n"/>
      <c r="BI189" s="2" t="n"/>
      <c r="BJ189" s="2" t="n"/>
      <c r="BK189" s="2" t="n"/>
      <c r="BL189" s="2" t="n"/>
      <c r="BM189" s="2" t="n"/>
      <c r="BN189" s="2" t="n"/>
      <c r="BO189" s="2" t="n"/>
      <c r="BP189" s="2" t="n"/>
      <c r="BQ189" s="2" t="n"/>
      <c r="BR189" s="2" t="n"/>
      <c r="BS189" s="2" t="n"/>
      <c r="BT189" s="2" t="n"/>
      <c r="BU189" s="2" t="n"/>
      <c r="BV189" s="2" t="n"/>
      <c r="BW189" s="2" t="n"/>
      <c r="BX189" s="2" t="n"/>
      <c r="BY189" s="2" t="n"/>
      <c r="BZ189" s="2" t="n"/>
      <c r="CA189" s="2" t="n"/>
    </row>
    <row r="190" hidden="1" customFormat="1" s="1">
      <c r="A190" s="2" t="n"/>
      <c r="B190" s="30" t="inlineStr">
        <is>
          <t>Ajuste</t>
        </is>
      </c>
      <c r="C190" s="413">
        <f>F190</f>
        <v/>
      </c>
      <c r="D190" s="413" t="inlineStr">
        <is>
          <t>Média</t>
        </is>
      </c>
      <c r="E190" s="30">
        <f>CONCATENATE(B190,C190,D190)</f>
        <v/>
      </c>
      <c r="F190" s="9" t="n"/>
      <c r="G190" s="31" t="n"/>
      <c r="H190" s="31">
        <f>($J190/($J$130*100))*(H$130*100)</f>
        <v/>
      </c>
      <c r="I190" s="31">
        <f>($J190/($J$130*100))*(I$130*100)</f>
        <v/>
      </c>
      <c r="J190" s="31">
        <f>P190/(1-$N$130)</f>
        <v/>
      </c>
      <c r="K190" s="31">
        <f>($J190/($J$130*100))*(K$130*100)</f>
        <v/>
      </c>
      <c r="L190" s="31">
        <f>($J190/($J$130*100))*(L$130*100)</f>
        <v/>
      </c>
      <c r="M190" s="31" t="n"/>
      <c r="N190" s="32">
        <f>SUM(H190:L190)</f>
        <v/>
      </c>
      <c r="P190" s="31" t="n"/>
      <c r="BC190" s="2" t="n"/>
      <c r="BD190" s="2" t="n"/>
      <c r="BE190" s="2" t="n"/>
      <c r="BF190" s="2" t="n"/>
      <c r="BG190" s="2" t="n"/>
      <c r="BH190" s="2" t="n"/>
      <c r="BI190" s="2" t="n"/>
      <c r="BJ190" s="2" t="n"/>
      <c r="BK190" s="2" t="n"/>
      <c r="BL190" s="2" t="n"/>
      <c r="BM190" s="2" t="n"/>
      <c r="BN190" s="2" t="n"/>
      <c r="BO190" s="2" t="n"/>
      <c r="BP190" s="2" t="n"/>
      <c r="BQ190" s="2" t="n"/>
      <c r="BR190" s="2" t="n"/>
      <c r="BS190" s="2" t="n"/>
      <c r="BT190" s="2" t="n"/>
      <c r="BU190" s="2" t="n"/>
      <c r="BV190" s="2" t="n"/>
      <c r="BW190" s="2" t="n"/>
      <c r="BX190" s="2" t="n"/>
      <c r="BY190" s="2" t="n"/>
      <c r="BZ190" s="2" t="n"/>
      <c r="CA190" s="2" t="n"/>
    </row>
    <row r="191" hidden="1" customFormat="1" s="1">
      <c r="A191" s="2" t="n"/>
      <c r="B191" s="30" t="inlineStr">
        <is>
          <t>Ajuste</t>
        </is>
      </c>
      <c r="C191" s="413">
        <f>F191</f>
        <v/>
      </c>
      <c r="D191" s="413" t="inlineStr">
        <is>
          <t>Média</t>
        </is>
      </c>
      <c r="E191" s="30">
        <f>CONCATENATE(B191,C191,D191)</f>
        <v/>
      </c>
      <c r="F191" s="9" t="n"/>
      <c r="G191" s="31" t="n"/>
      <c r="H191" s="31">
        <f>($J191/($J$130*100))*(H$130*100)</f>
        <v/>
      </c>
      <c r="I191" s="31">
        <f>($J191/($J$130*100))*(I$130*100)</f>
        <v/>
      </c>
      <c r="J191" s="31">
        <f>P191/(1-$N$130)</f>
        <v/>
      </c>
      <c r="K191" s="31">
        <f>($J191/($J$130*100))*(K$130*100)</f>
        <v/>
      </c>
      <c r="L191" s="31">
        <f>($J191/($J$130*100))*(L$130*100)</f>
        <v/>
      </c>
      <c r="M191" s="31" t="n"/>
      <c r="N191" s="32">
        <f>SUM(H191:L191)</f>
        <v/>
      </c>
      <c r="P191" s="31" t="n"/>
      <c r="BC191" s="2" t="n"/>
      <c r="BD191" s="2" t="n"/>
      <c r="BE191" s="2" t="n"/>
      <c r="BF191" s="2" t="n"/>
      <c r="BG191" s="2" t="n"/>
      <c r="BH191" s="2" t="n"/>
      <c r="BI191" s="2" t="n"/>
      <c r="BJ191" s="2" t="n"/>
      <c r="BK191" s="2" t="n"/>
      <c r="BL191" s="2" t="n"/>
      <c r="BM191" s="2" t="n"/>
      <c r="BN191" s="2" t="n"/>
      <c r="BO191" s="2" t="n"/>
      <c r="BP191" s="2" t="n"/>
      <c r="BQ191" s="2" t="n"/>
      <c r="BR191" s="2" t="n"/>
      <c r="BS191" s="2" t="n"/>
      <c r="BT191" s="2" t="n"/>
      <c r="BU191" s="2" t="n"/>
      <c r="BV191" s="2" t="n"/>
      <c r="BW191" s="2" t="n"/>
      <c r="BX191" s="2" t="n"/>
      <c r="BY191" s="2" t="n"/>
      <c r="BZ191" s="2" t="n"/>
      <c r="CA191" s="2" t="n"/>
    </row>
    <row r="192" hidden="1" customFormat="1" s="1">
      <c r="A192" s="2" t="n"/>
      <c r="B192" s="30" t="inlineStr">
        <is>
          <t>Ajuste</t>
        </is>
      </c>
      <c r="C192" s="413">
        <f>F192</f>
        <v/>
      </c>
      <c r="D192" s="413" t="inlineStr">
        <is>
          <t>Média</t>
        </is>
      </c>
      <c r="E192" s="30">
        <f>CONCATENATE(B192,C192,D192)</f>
        <v/>
      </c>
      <c r="F192" s="9" t="n"/>
      <c r="G192" s="31" t="n"/>
      <c r="H192" s="31">
        <f>($J192/($J$130*100))*(H$130*100)</f>
        <v/>
      </c>
      <c r="I192" s="31">
        <f>($J192/($J$130*100))*(I$130*100)</f>
        <v/>
      </c>
      <c r="J192" s="31">
        <f>P192/(1-$N$130)</f>
        <v/>
      </c>
      <c r="K192" s="31">
        <f>($J192/($J$130*100))*(K$130*100)</f>
        <v/>
      </c>
      <c r="L192" s="31">
        <f>($J192/($J$130*100))*(L$130*100)</f>
        <v/>
      </c>
      <c r="M192" s="31" t="n"/>
      <c r="N192" s="32">
        <f>SUM(H192:L192)</f>
        <v/>
      </c>
      <c r="P192" s="31" t="n"/>
      <c r="BC192" s="2" t="n"/>
      <c r="BD192" s="2" t="n"/>
      <c r="BE192" s="2" t="n"/>
      <c r="BF192" s="2" t="n"/>
      <c r="BG192" s="2" t="n"/>
      <c r="BH192" s="2" t="n"/>
      <c r="BI192" s="2" t="n"/>
      <c r="BJ192" s="2" t="n"/>
      <c r="BK192" s="2" t="n"/>
      <c r="BL192" s="2" t="n"/>
      <c r="BM192" s="2" t="n"/>
      <c r="BN192" s="2" t="n"/>
      <c r="BO192" s="2" t="n"/>
      <c r="BP192" s="2" t="n"/>
      <c r="BQ192" s="2" t="n"/>
      <c r="BR192" s="2" t="n"/>
      <c r="BS192" s="2" t="n"/>
      <c r="BT192" s="2" t="n"/>
      <c r="BU192" s="2" t="n"/>
      <c r="BV192" s="2" t="n"/>
      <c r="BW192" s="2" t="n"/>
      <c r="BX192" s="2" t="n"/>
      <c r="BY192" s="2" t="n"/>
      <c r="BZ192" s="2" t="n"/>
      <c r="CA192" s="2" t="n"/>
    </row>
    <row r="193" hidden="1" ht="13.9" customFormat="1" customHeight="1" s="1" thickBot="1">
      <c r="A193" s="2" t="n"/>
      <c r="B193" s="30" t="inlineStr">
        <is>
          <t>Ajuste</t>
        </is>
      </c>
      <c r="C193" s="413">
        <f>F193</f>
        <v/>
      </c>
      <c r="D193" s="413" t="inlineStr">
        <is>
          <t>Média</t>
        </is>
      </c>
      <c r="E193" s="30">
        <f>CONCATENATE(B193,C193,D193)</f>
        <v/>
      </c>
      <c r="F193" s="10" t="n"/>
      <c r="G193" s="31" t="n"/>
      <c r="H193" s="31">
        <f>($J193/($J$130*100))*(H$130*100)</f>
        <v/>
      </c>
      <c r="I193" s="31">
        <f>($J193/($J$130*100))*(I$130*100)</f>
        <v/>
      </c>
      <c r="J193" s="31">
        <f>P193/(1-$N$130)</f>
        <v/>
      </c>
      <c r="K193" s="31">
        <f>($J193/($J$130*100))*(K$130*100)</f>
        <v/>
      </c>
      <c r="L193" s="31">
        <f>($J193/($J$130*100))*(L$130*100)</f>
        <v/>
      </c>
      <c r="M193" s="31" t="n"/>
      <c r="N193" s="32">
        <f>SUM(H193:L193)</f>
        <v/>
      </c>
      <c r="P193" s="31" t="n"/>
      <c r="BC193" s="2" t="n"/>
      <c r="BD193" s="2" t="n"/>
      <c r="BE193" s="2" t="n"/>
      <c r="BF193" s="2" t="n"/>
      <c r="BG193" s="2" t="n"/>
      <c r="BH193" s="2" t="n"/>
      <c r="BI193" s="2" t="n"/>
      <c r="BJ193" s="2" t="n"/>
      <c r="BK193" s="2" t="n"/>
      <c r="BL193" s="2" t="n"/>
      <c r="BM193" s="2" t="n"/>
      <c r="BN193" s="2" t="n"/>
      <c r="BO193" s="2" t="n"/>
      <c r="BP193" s="2" t="n"/>
      <c r="BQ193" s="2" t="n"/>
      <c r="BR193" s="2" t="n"/>
      <c r="BS193" s="2" t="n"/>
      <c r="BT193" s="2" t="n"/>
      <c r="BU193" s="2" t="n"/>
      <c r="BV193" s="2" t="n"/>
      <c r="BW193" s="2" t="n"/>
      <c r="BX193" s="2" t="n"/>
      <c r="BY193" s="2" t="n"/>
      <c r="BZ193" s="2" t="n"/>
      <c r="CA193" s="2" t="n"/>
    </row>
    <row r="194" hidden="1" customFormat="1" s="1">
      <c r="A194" s="2" t="n"/>
      <c r="B194" s="30" t="inlineStr">
        <is>
          <t>Ajuste</t>
        </is>
      </c>
      <c r="C194" s="413">
        <f>F194</f>
        <v/>
      </c>
      <c r="D194" s="413" t="inlineStr">
        <is>
          <t>Média</t>
        </is>
      </c>
      <c r="E194" s="30">
        <f>CONCATENATE(B194,C194,D194)</f>
        <v/>
      </c>
      <c r="F194" s="9" t="n"/>
      <c r="G194" s="33" t="n"/>
      <c r="H194" s="31">
        <f>($J194/($J$130*100))*(H$130*100)</f>
        <v/>
      </c>
      <c r="I194" s="31">
        <f>($J194/($J$130*100))*(I$130*100)</f>
        <v/>
      </c>
      <c r="J194" s="31">
        <f>P194/(1-$N$130)</f>
        <v/>
      </c>
      <c r="K194" s="31">
        <f>($J194/($J$130*100))*(K$130*100)</f>
        <v/>
      </c>
      <c r="L194" s="31">
        <f>($J194/($J$130*100))*(L$130*100)</f>
        <v/>
      </c>
      <c r="M194" s="31" t="n"/>
      <c r="N194" s="32">
        <f>SUM(H194:L194)</f>
        <v/>
      </c>
      <c r="P194" s="31" t="n"/>
      <c r="BC194" s="2" t="n"/>
      <c r="BD194" s="2" t="n"/>
      <c r="BE194" s="2" t="n"/>
      <c r="BF194" s="2" t="n"/>
      <c r="BG194" s="2" t="n"/>
      <c r="BH194" s="2" t="n"/>
      <c r="BI194" s="2" t="n"/>
      <c r="BJ194" s="2" t="n"/>
      <c r="BK194" s="2" t="n"/>
      <c r="BL194" s="2" t="n"/>
      <c r="BM194" s="2" t="n"/>
      <c r="BN194" s="2" t="n"/>
      <c r="BO194" s="2" t="n"/>
      <c r="BP194" s="2" t="n"/>
      <c r="BQ194" s="2" t="n"/>
      <c r="BR194" s="2" t="n"/>
      <c r="BS194" s="2" t="n"/>
      <c r="BT194" s="2" t="n"/>
      <c r="BU194" s="2" t="n"/>
      <c r="BV194" s="2" t="n"/>
      <c r="BW194" s="2" t="n"/>
      <c r="BX194" s="2" t="n"/>
      <c r="BY194" s="2" t="n"/>
      <c r="BZ194" s="2" t="n"/>
      <c r="CA194" s="2" t="n"/>
    </row>
    <row r="195" hidden="1" customFormat="1" s="1">
      <c r="A195" s="2" t="n"/>
      <c r="B195" s="30" t="inlineStr">
        <is>
          <t>Ajuste</t>
        </is>
      </c>
      <c r="C195" s="413">
        <f>F195</f>
        <v/>
      </c>
      <c r="D195" s="413" t="inlineStr">
        <is>
          <t>Média</t>
        </is>
      </c>
      <c r="E195" s="30">
        <f>CONCATENATE(B195,C195,D195)</f>
        <v/>
      </c>
      <c r="F195" s="9" t="n"/>
      <c r="G195" s="33" t="n"/>
      <c r="H195" s="31">
        <f>($J195/($J$130*100))*(H$130*100)</f>
        <v/>
      </c>
      <c r="I195" s="31">
        <f>($J195/($J$130*100))*(I$130*100)</f>
        <v/>
      </c>
      <c r="J195" s="31">
        <f>P195/(1-$N$130)</f>
        <v/>
      </c>
      <c r="K195" s="31">
        <f>($J195/($J$130*100))*(K$130*100)</f>
        <v/>
      </c>
      <c r="L195" s="31">
        <f>($J195/($J$130*100))*(L$130*100)</f>
        <v/>
      </c>
      <c r="M195" s="31" t="n"/>
      <c r="N195" s="32">
        <f>SUM(H195:L195)</f>
        <v/>
      </c>
      <c r="P195" s="31" t="n"/>
      <c r="BC195" s="2" t="n"/>
      <c r="BD195" s="2" t="n"/>
      <c r="BE195" s="2" t="n"/>
      <c r="BF195" s="2" t="n"/>
      <c r="BG195" s="2" t="n"/>
      <c r="BH195" s="2" t="n"/>
      <c r="BI195" s="2" t="n"/>
      <c r="BJ195" s="2" t="n"/>
      <c r="BK195" s="2" t="n"/>
      <c r="BL195" s="2" t="n"/>
      <c r="BM195" s="2" t="n"/>
      <c r="BN195" s="2" t="n"/>
      <c r="BO195" s="2" t="n"/>
      <c r="BP195" s="2" t="n"/>
      <c r="BQ195" s="2" t="n"/>
      <c r="BR195" s="2" t="n"/>
      <c r="BS195" s="2" t="n"/>
      <c r="BT195" s="2" t="n"/>
      <c r="BU195" s="2" t="n"/>
      <c r="BV195" s="2" t="n"/>
      <c r="BW195" s="2" t="n"/>
      <c r="BX195" s="2" t="n"/>
      <c r="BY195" s="2" t="n"/>
      <c r="BZ195" s="2" t="n"/>
      <c r="CA195" s="2" t="n"/>
    </row>
    <row r="196" hidden="1" customFormat="1" s="1">
      <c r="A196" s="2" t="n"/>
      <c r="B196" s="30" t="inlineStr">
        <is>
          <t>Ajuste</t>
        </is>
      </c>
      <c r="C196" s="413">
        <f>F196</f>
        <v/>
      </c>
      <c r="D196" s="413" t="inlineStr">
        <is>
          <t>Média</t>
        </is>
      </c>
      <c r="E196" s="30">
        <f>CONCATENATE(B196,C196,D196)</f>
        <v/>
      </c>
      <c r="F196" s="9" t="n"/>
      <c r="G196" s="33" t="n"/>
      <c r="H196" s="31">
        <f>($J196/($J$130*100))*(H$130*100)</f>
        <v/>
      </c>
      <c r="I196" s="31">
        <f>($J196/($J$130*100))*(I$130*100)</f>
        <v/>
      </c>
      <c r="J196" s="31">
        <f>P196/(1-$N$130)</f>
        <v/>
      </c>
      <c r="K196" s="31">
        <f>($J196/($J$130*100))*(K$130*100)</f>
        <v/>
      </c>
      <c r="L196" s="31">
        <f>($J196/($J$130*100))*(L$130*100)</f>
        <v/>
      </c>
      <c r="M196" s="31" t="n"/>
      <c r="N196" s="32">
        <f>SUM(H196:L196)</f>
        <v/>
      </c>
      <c r="P196" s="31" t="n"/>
      <c r="BC196" s="2" t="n"/>
      <c r="BD196" s="2" t="n"/>
      <c r="BE196" s="2" t="n"/>
      <c r="BF196" s="2" t="n"/>
      <c r="BG196" s="2" t="n"/>
      <c r="BH196" s="2" t="n"/>
      <c r="BI196" s="2" t="n"/>
      <c r="BJ196" s="2" t="n"/>
      <c r="BK196" s="2" t="n"/>
      <c r="BL196" s="2" t="n"/>
      <c r="BM196" s="2" t="n"/>
      <c r="BN196" s="2" t="n"/>
      <c r="BO196" s="2" t="n"/>
      <c r="BP196" s="2" t="n"/>
      <c r="BQ196" s="2" t="n"/>
      <c r="BR196" s="2" t="n"/>
      <c r="BS196" s="2" t="n"/>
      <c r="BT196" s="2" t="n"/>
      <c r="BU196" s="2" t="n"/>
      <c r="BV196" s="2" t="n"/>
      <c r="BW196" s="2" t="n"/>
      <c r="BX196" s="2" t="n"/>
      <c r="BY196" s="2" t="n"/>
      <c r="BZ196" s="2" t="n"/>
      <c r="CA196" s="2" t="n"/>
    </row>
    <row r="197" hidden="1" customFormat="1" s="1">
      <c r="A197" s="2" t="n"/>
      <c r="B197" s="30" t="inlineStr">
        <is>
          <t>Ajuste</t>
        </is>
      </c>
      <c r="C197" s="413">
        <f>F197</f>
        <v/>
      </c>
      <c r="D197" s="413" t="inlineStr">
        <is>
          <t>Média</t>
        </is>
      </c>
      <c r="E197" s="30">
        <f>CONCATENATE(B197,C197,D197)</f>
        <v/>
      </c>
      <c r="F197" s="9" t="n"/>
      <c r="G197" s="33" t="n"/>
      <c r="H197" s="31">
        <f>($J197/($J$130*100))*(H$130*100)</f>
        <v/>
      </c>
      <c r="I197" s="31">
        <f>($J197/($J$130*100))*(I$130*100)</f>
        <v/>
      </c>
      <c r="J197" s="31">
        <f>P197/(1-$N$130)</f>
        <v/>
      </c>
      <c r="K197" s="31">
        <f>($J197/($J$130*100))*(K$130*100)</f>
        <v/>
      </c>
      <c r="L197" s="31">
        <f>($J197/($J$130*100))*(L$130*100)</f>
        <v/>
      </c>
      <c r="M197" s="31" t="n"/>
      <c r="N197" s="32">
        <f>SUM(H197:L197)</f>
        <v/>
      </c>
      <c r="P197" s="31" t="n"/>
      <c r="BC197" s="2" t="n"/>
      <c r="BD197" s="2" t="n"/>
      <c r="BE197" s="2" t="n"/>
      <c r="BF197" s="2" t="n"/>
      <c r="BG197" s="2" t="n"/>
      <c r="BH197" s="2" t="n"/>
      <c r="BI197" s="2" t="n"/>
      <c r="BJ197" s="2" t="n"/>
      <c r="BK197" s="2" t="n"/>
      <c r="BL197" s="2" t="n"/>
      <c r="BM197" s="2" t="n"/>
      <c r="BN197" s="2" t="n"/>
      <c r="BO197" s="2" t="n"/>
      <c r="BP197" s="2" t="n"/>
      <c r="BQ197" s="2" t="n"/>
      <c r="BR197" s="2" t="n"/>
      <c r="BS197" s="2" t="n"/>
      <c r="BT197" s="2" t="n"/>
      <c r="BU197" s="2" t="n"/>
      <c r="BV197" s="2" t="n"/>
      <c r="BW197" s="2" t="n"/>
      <c r="BX197" s="2" t="n"/>
      <c r="BY197" s="2" t="n"/>
      <c r="BZ197" s="2" t="n"/>
      <c r="CA197" s="2" t="n"/>
    </row>
    <row r="198" hidden="1" customFormat="1" s="1">
      <c r="A198" s="2" t="n"/>
      <c r="B198" s="30" t="inlineStr">
        <is>
          <t>Ajuste</t>
        </is>
      </c>
      <c r="C198" s="413">
        <f>F198</f>
        <v/>
      </c>
      <c r="D198" s="413" t="inlineStr">
        <is>
          <t>Média</t>
        </is>
      </c>
      <c r="E198" s="30">
        <f>CONCATENATE(B198,C198,D198)</f>
        <v/>
      </c>
      <c r="F198" s="9" t="n"/>
      <c r="G198" s="33" t="n"/>
      <c r="H198" s="31">
        <f>($J198/($J$130*100))*(H$130*100)</f>
        <v/>
      </c>
      <c r="I198" s="31">
        <f>($J198/($J$130*100))*(I$130*100)</f>
        <v/>
      </c>
      <c r="J198" s="31">
        <f>P198/(1-$N$130)</f>
        <v/>
      </c>
      <c r="K198" s="31">
        <f>($J198/($J$130*100))*(K$130*100)</f>
        <v/>
      </c>
      <c r="L198" s="31">
        <f>($J198/($J$130*100))*(L$130*100)</f>
        <v/>
      </c>
      <c r="M198" s="31" t="n"/>
      <c r="N198" s="32">
        <f>SUM(H198:L198)</f>
        <v/>
      </c>
      <c r="P198" s="31" t="n"/>
      <c r="BC198" s="2" t="n"/>
      <c r="BD198" s="2" t="n"/>
      <c r="BE198" s="2" t="n"/>
      <c r="BF198" s="2" t="n"/>
      <c r="BG198" s="2" t="n"/>
      <c r="BH198" s="2" t="n"/>
      <c r="BI198" s="2" t="n"/>
      <c r="BJ198" s="2" t="n"/>
      <c r="BK198" s="2" t="n"/>
      <c r="BL198" s="2" t="n"/>
      <c r="BM198" s="2" t="n"/>
      <c r="BN198" s="2" t="n"/>
      <c r="BO198" s="2" t="n"/>
      <c r="BP198" s="2" t="n"/>
      <c r="BQ198" s="2" t="n"/>
      <c r="BR198" s="2" t="n"/>
      <c r="BS198" s="2" t="n"/>
      <c r="BT198" s="2" t="n"/>
      <c r="BU198" s="2" t="n"/>
      <c r="BV198" s="2" t="n"/>
      <c r="BW198" s="2" t="n"/>
      <c r="BX198" s="2" t="n"/>
      <c r="BY198" s="2" t="n"/>
      <c r="BZ198" s="2" t="n"/>
      <c r="CA198" s="2" t="n"/>
    </row>
    <row r="199" hidden="1" customFormat="1" s="1">
      <c r="A199" s="2" t="n"/>
      <c r="B199" s="30" t="inlineStr">
        <is>
          <t>Ajuste</t>
        </is>
      </c>
      <c r="C199" s="413">
        <f>F199</f>
        <v/>
      </c>
      <c r="D199" s="413" t="inlineStr">
        <is>
          <t>Média</t>
        </is>
      </c>
      <c r="E199" s="30">
        <f>CONCATENATE(B199,C199,D199)</f>
        <v/>
      </c>
      <c r="F199" s="9" t="n"/>
      <c r="G199" s="33" t="n"/>
      <c r="H199" s="31">
        <f>($J199/($J$130*100))*(H$130*100)</f>
        <v/>
      </c>
      <c r="I199" s="31">
        <f>($J199/($J$130*100))*(I$130*100)</f>
        <v/>
      </c>
      <c r="J199" s="31">
        <f>P199/(1-$N$130)</f>
        <v/>
      </c>
      <c r="K199" s="31">
        <f>($J199/($J$130*100))*(K$130*100)</f>
        <v/>
      </c>
      <c r="L199" s="31">
        <f>($J199/($J$130*100))*(L$130*100)</f>
        <v/>
      </c>
      <c r="M199" s="31" t="n"/>
      <c r="N199" s="32">
        <f>SUM(H199:L199)</f>
        <v/>
      </c>
      <c r="P199" s="31" t="n"/>
      <c r="BC199" s="2" t="n"/>
      <c r="BD199" s="2" t="n"/>
      <c r="BE199" s="2" t="n"/>
      <c r="BF199" s="2" t="n"/>
      <c r="BG199" s="2" t="n"/>
      <c r="BH199" s="2" t="n"/>
      <c r="BI199" s="2" t="n"/>
      <c r="BJ199" s="2" t="n"/>
      <c r="BK199" s="2" t="n"/>
      <c r="BL199" s="2" t="n"/>
      <c r="BM199" s="2" t="n"/>
      <c r="BN199" s="2" t="n"/>
      <c r="BO199" s="2" t="n"/>
      <c r="BP199" s="2" t="n"/>
      <c r="BQ199" s="2" t="n"/>
      <c r="BR199" s="2" t="n"/>
      <c r="BS199" s="2" t="n"/>
      <c r="BT199" s="2" t="n"/>
      <c r="BU199" s="2" t="n"/>
      <c r="BV199" s="2" t="n"/>
      <c r="BW199" s="2" t="n"/>
      <c r="BX199" s="2" t="n"/>
      <c r="BY199" s="2" t="n"/>
      <c r="BZ199" s="2" t="n"/>
      <c r="CA199" s="2" t="n"/>
    </row>
    <row r="200" hidden="1" customFormat="1" s="1">
      <c r="A200" s="2" t="n"/>
      <c r="B200" s="30" t="inlineStr">
        <is>
          <t>Ajuste</t>
        </is>
      </c>
      <c r="C200" s="413">
        <f>F200</f>
        <v/>
      </c>
      <c r="D200" s="413" t="inlineStr">
        <is>
          <t>Média</t>
        </is>
      </c>
      <c r="E200" s="30">
        <f>CONCATENATE(B200,C200,D200)</f>
        <v/>
      </c>
      <c r="F200" s="9" t="n"/>
      <c r="G200" s="33" t="n"/>
      <c r="H200" s="31">
        <f>($J200/($J$130*100))*(H$130*100)</f>
        <v/>
      </c>
      <c r="I200" s="31">
        <f>($J200/($J$130*100))*(I$130*100)</f>
        <v/>
      </c>
      <c r="J200" s="31">
        <f>P200/(1-$N$130)</f>
        <v/>
      </c>
      <c r="K200" s="31">
        <f>($J200/($J$130*100))*(K$130*100)</f>
        <v/>
      </c>
      <c r="L200" s="31">
        <f>($J200/($J$130*100))*(L$130*100)</f>
        <v/>
      </c>
      <c r="M200" s="31" t="n"/>
      <c r="N200" s="32">
        <f>SUM(H200:L200)</f>
        <v/>
      </c>
      <c r="P200" s="31" t="n"/>
      <c r="BC200" s="2" t="n"/>
      <c r="BD200" s="2" t="n"/>
      <c r="BE200" s="2" t="n"/>
      <c r="BF200" s="2" t="n"/>
      <c r="BG200" s="2" t="n"/>
      <c r="BH200" s="2" t="n"/>
      <c r="BI200" s="2" t="n"/>
      <c r="BJ200" s="2" t="n"/>
      <c r="BK200" s="2" t="n"/>
      <c r="BL200" s="2" t="n"/>
      <c r="BM200" s="2" t="n"/>
      <c r="BN200" s="2" t="n"/>
      <c r="BO200" s="2" t="n"/>
      <c r="BP200" s="2" t="n"/>
      <c r="BQ200" s="2" t="n"/>
      <c r="BR200" s="2" t="n"/>
      <c r="BS200" s="2" t="n"/>
      <c r="BT200" s="2" t="n"/>
      <c r="BU200" s="2" t="n"/>
      <c r="BV200" s="2" t="n"/>
      <c r="BW200" s="2" t="n"/>
      <c r="BX200" s="2" t="n"/>
      <c r="BY200" s="2" t="n"/>
      <c r="BZ200" s="2" t="n"/>
      <c r="CA200" s="2" t="n"/>
    </row>
    <row r="201" hidden="1" customFormat="1" s="1">
      <c r="A201" s="2" t="n"/>
      <c r="B201" s="2" t="n"/>
      <c r="BC201" s="2" t="n"/>
      <c r="BD201" s="2" t="n"/>
      <c r="BE201" s="2" t="n"/>
      <c r="BF201" s="2" t="n"/>
      <c r="BG201" s="2" t="n"/>
      <c r="BH201" s="2" t="n"/>
      <c r="BI201" s="2" t="n"/>
      <c r="BJ201" s="2" t="n"/>
      <c r="BK201" s="2" t="n"/>
      <c r="BL201" s="2" t="n"/>
      <c r="BM201" s="2" t="n"/>
      <c r="BN201" s="2" t="n"/>
      <c r="BO201" s="2" t="n"/>
      <c r="BP201" s="2" t="n"/>
      <c r="BQ201" s="2" t="n"/>
      <c r="BR201" s="2" t="n"/>
      <c r="BS201" s="2" t="n"/>
      <c r="BT201" s="2" t="n"/>
      <c r="BU201" s="2" t="n"/>
      <c r="BV201" s="2" t="n"/>
      <c r="BW201" s="2" t="n"/>
      <c r="BX201" s="2" t="n"/>
      <c r="BY201" s="2" t="n"/>
      <c r="BZ201" s="2" t="n"/>
      <c r="CA201" s="2" t="n"/>
    </row>
    <row r="202" hidden="1" customFormat="1" s="1">
      <c r="A202" s="2" t="n"/>
      <c r="B202" s="2" t="n"/>
      <c r="BC202" s="2" t="n"/>
      <c r="BD202" s="2" t="n"/>
      <c r="BE202" s="2" t="n"/>
      <c r="BF202" s="2" t="n"/>
      <c r="BG202" s="2" t="n"/>
      <c r="BH202" s="2" t="n"/>
      <c r="BI202" s="2" t="n"/>
      <c r="BJ202" s="2" t="n"/>
      <c r="BK202" s="2" t="n"/>
      <c r="BL202" s="2" t="n"/>
      <c r="BM202" s="2" t="n"/>
      <c r="BN202" s="2" t="n"/>
      <c r="BO202" s="2" t="n"/>
      <c r="BP202" s="2" t="n"/>
      <c r="BQ202" s="2" t="n"/>
      <c r="BR202" s="2" t="n"/>
      <c r="BS202" s="2" t="n"/>
      <c r="BT202" s="2" t="n"/>
      <c r="BU202" s="2" t="n"/>
      <c r="BV202" s="2" t="n"/>
      <c r="BW202" s="2" t="n"/>
      <c r="BX202" s="2" t="n"/>
      <c r="BY202" s="2" t="n"/>
      <c r="BZ202" s="2" t="n"/>
      <c r="CA202" s="2" t="n"/>
    </row>
    <row r="203" hidden="1" ht="13.9" customFormat="1" customHeight="1" s="1" thickBot="1">
      <c r="A203" s="2" t="n"/>
      <c r="B203" s="2" t="n"/>
      <c r="BC203" s="2" t="n"/>
      <c r="BD203" s="2" t="n"/>
      <c r="BE203" s="2" t="n"/>
      <c r="BF203" s="2" t="n"/>
      <c r="BG203" s="2" t="n"/>
      <c r="BH203" s="2" t="n"/>
      <c r="BI203" s="2" t="n"/>
      <c r="BJ203" s="2" t="n"/>
      <c r="BK203" s="2" t="n"/>
      <c r="BL203" s="2" t="n"/>
      <c r="BM203" s="2" t="n"/>
      <c r="BN203" s="2" t="n"/>
      <c r="BO203" s="2" t="n"/>
      <c r="BP203" s="2" t="n"/>
      <c r="BQ203" s="2" t="n"/>
      <c r="BR203" s="2" t="n"/>
      <c r="BS203" s="2" t="n"/>
      <c r="BT203" s="2" t="n"/>
      <c r="BU203" s="2" t="n"/>
      <c r="BV203" s="2" t="n"/>
      <c r="BW203" s="2" t="n"/>
      <c r="BX203" s="2" t="n"/>
      <c r="BY203" s="2" t="n"/>
      <c r="BZ203" s="2" t="n"/>
      <c r="CA203" s="2" t="n"/>
    </row>
    <row r="204" hidden="1" customFormat="1" s="1">
      <c r="A204" s="2" t="n"/>
      <c r="B204" s="86" t="n"/>
      <c r="C204" s="86" t="n"/>
      <c r="D204" s="86" t="n"/>
      <c r="E204" s="86" t="n"/>
      <c r="F204" s="28" t="inlineStr">
        <is>
          <t>Complexidade</t>
        </is>
      </c>
      <c r="G204" s="88" t="inlineStr">
        <is>
          <t>Alta</t>
        </is>
      </c>
      <c r="H204" s="89" t="n"/>
      <c r="I204" s="89" t="n"/>
      <c r="J204" s="89" t="n"/>
      <c r="K204" s="89" t="n"/>
      <c r="L204" s="89" t="n"/>
      <c r="M204" s="89" t="n"/>
      <c r="N204" s="90" t="n"/>
      <c r="P204" s="89" t="n"/>
      <c r="BC204" s="2" t="n"/>
      <c r="BD204" s="2" t="n"/>
      <c r="BE204" s="2" t="n"/>
      <c r="BF204" s="2" t="n"/>
      <c r="BG204" s="2" t="n"/>
      <c r="BH204" s="2" t="n"/>
      <c r="BI204" s="2" t="n"/>
      <c r="BJ204" s="2" t="n"/>
      <c r="BK204" s="2" t="n"/>
      <c r="BL204" s="2" t="n"/>
      <c r="BM204" s="2" t="n"/>
      <c r="BN204" s="2" t="n"/>
      <c r="BO204" s="2" t="n"/>
      <c r="BP204" s="2" t="n"/>
      <c r="BQ204" s="2" t="n"/>
      <c r="BR204" s="2" t="n"/>
      <c r="BS204" s="2" t="n"/>
      <c r="BT204" s="2" t="n"/>
      <c r="BU204" s="2" t="n"/>
      <c r="BV204" s="2" t="n"/>
      <c r="BW204" s="2" t="n"/>
      <c r="BX204" s="2" t="n"/>
      <c r="BY204" s="2" t="n"/>
      <c r="BZ204" s="2" t="n"/>
      <c r="CA204" s="2" t="n"/>
    </row>
    <row r="205" hidden="1" ht="13.9" customFormat="1" customHeight="1" s="1" thickBot="1">
      <c r="A205" s="2" t="n"/>
      <c r="B205" s="86" t="n"/>
      <c r="C205" s="86" t="n"/>
      <c r="D205" s="86" t="n"/>
      <c r="E205" s="86" t="n"/>
      <c r="F205" s="29" t="inlineStr">
        <is>
          <t>Elemento</t>
        </is>
      </c>
      <c r="G205" s="29" t="n"/>
      <c r="H205" s="29" t="inlineStr">
        <is>
          <t>EF</t>
        </is>
      </c>
      <c r="I205" s="29" t="inlineStr">
        <is>
          <t>ET</t>
        </is>
      </c>
      <c r="J205" s="29" t="inlineStr">
        <is>
          <t>DE</t>
        </is>
      </c>
      <c r="K205" s="29" t="inlineStr">
        <is>
          <t>TE</t>
        </is>
      </c>
      <c r="L205" s="29" t="inlineStr">
        <is>
          <t>HML</t>
        </is>
      </c>
      <c r="M205" s="29" t="n"/>
      <c r="N205" s="29" t="inlineStr">
        <is>
          <t>TO</t>
        </is>
      </c>
      <c r="P205" s="29" t="inlineStr">
        <is>
          <t>DE</t>
        </is>
      </c>
      <c r="BC205" s="2" t="n"/>
      <c r="BD205" s="2" t="n"/>
      <c r="BE205" s="2" t="n"/>
      <c r="BF205" s="2" t="n"/>
      <c r="BG205" s="2" t="n"/>
      <c r="BH205" s="2" t="n"/>
      <c r="BI205" s="2" t="n"/>
      <c r="BJ205" s="2" t="n"/>
      <c r="BK205" s="2" t="n"/>
      <c r="BL205" s="2" t="n"/>
      <c r="BM205" s="2" t="n"/>
      <c r="BN205" s="2" t="n"/>
      <c r="BO205" s="2" t="n"/>
      <c r="BP205" s="2" t="n"/>
      <c r="BQ205" s="2" t="n"/>
      <c r="BR205" s="2" t="n"/>
      <c r="BS205" s="2" t="n"/>
      <c r="BT205" s="2" t="n"/>
      <c r="BU205" s="2" t="n"/>
      <c r="BV205" s="2" t="n"/>
      <c r="BW205" s="2" t="n"/>
      <c r="BX205" s="2" t="n"/>
      <c r="BY205" s="2" t="n"/>
      <c r="BZ205" s="2" t="n"/>
      <c r="CA205" s="2" t="n"/>
    </row>
    <row r="206" hidden="1" customFormat="1" s="1">
      <c r="A206" s="2" t="n"/>
      <c r="B206" s="413" t="inlineStr">
        <is>
          <t>Novo</t>
        </is>
      </c>
      <c r="C206" s="413">
        <f>F206</f>
        <v/>
      </c>
      <c r="D206" s="413" t="inlineStr">
        <is>
          <t>Alta</t>
        </is>
      </c>
      <c r="E206" s="30">
        <f>CONCATENATE(B206,C206,D206)</f>
        <v/>
      </c>
      <c r="F206" s="5" t="inlineStr">
        <is>
          <t>Apresentação</t>
        </is>
      </c>
      <c r="G206" s="31" t="n"/>
      <c r="H206" s="31">
        <f>($J206/($J$130*100))*(H$130*100)</f>
        <v/>
      </c>
      <c r="I206" s="31">
        <f>($J206/($J$130*100))*(I$130*100)</f>
        <v/>
      </c>
      <c r="J206" s="31">
        <f>P206/(1-$N$130)</f>
        <v/>
      </c>
      <c r="K206" s="31">
        <f>($J206/($J$130*100))*(K$130*100)</f>
        <v/>
      </c>
      <c r="L206" s="31">
        <f>($J206/($J$130*100))*(L$130*100)</f>
        <v/>
      </c>
      <c r="M206" s="31" t="n"/>
      <c r="N206" s="32">
        <f>SUM(H206:L206)</f>
        <v/>
      </c>
      <c r="P206" s="31" t="n">
        <v>36</v>
      </c>
      <c r="T206" s="209" t="n">
        <v>73.46938775510205</v>
      </c>
      <c r="W206" s="217">
        <f>IFERROR((N206-T206)/T206, 0)</f>
        <v/>
      </c>
      <c r="BC206" s="2" t="n"/>
      <c r="BD206" s="2" t="n"/>
      <c r="BE206" s="2" t="n"/>
      <c r="BF206" s="2" t="n"/>
      <c r="BG206" s="2" t="n"/>
      <c r="BH206" s="2" t="n"/>
      <c r="BI206" s="2" t="n"/>
      <c r="BJ206" s="2" t="n"/>
      <c r="BK206" s="2" t="n"/>
      <c r="BL206" s="2" t="n"/>
      <c r="BM206" s="2" t="n"/>
      <c r="BN206" s="2" t="n"/>
      <c r="BO206" s="2" t="n"/>
      <c r="BP206" s="2" t="n"/>
      <c r="BQ206" s="2" t="n"/>
      <c r="BR206" s="2" t="n"/>
      <c r="BS206" s="2" t="n"/>
      <c r="BT206" s="2" t="n"/>
      <c r="BU206" s="2" t="n"/>
      <c r="BV206" s="2" t="n"/>
      <c r="BW206" s="2" t="n"/>
      <c r="BX206" s="2" t="n"/>
      <c r="BY206" s="2" t="n"/>
      <c r="BZ206" s="2" t="n"/>
      <c r="CA206" s="2" t="n"/>
    </row>
    <row r="207" hidden="1" customFormat="1" s="1">
      <c r="A207" s="2" t="n"/>
      <c r="B207" s="413" t="inlineStr">
        <is>
          <t>Novo</t>
        </is>
      </c>
      <c r="C207" s="413">
        <f>F207</f>
        <v/>
      </c>
      <c r="D207" s="413" t="inlineStr">
        <is>
          <t>Alta</t>
        </is>
      </c>
      <c r="E207" s="30">
        <f>CONCATENATE(B207,C207,D207)</f>
        <v/>
      </c>
      <c r="F207" s="5" t="inlineStr">
        <is>
          <t>Workflow</t>
        </is>
      </c>
      <c r="G207" s="31" t="n"/>
      <c r="H207" s="31">
        <f>($J207/($J$130*100))*(H$130*100)</f>
        <v/>
      </c>
      <c r="I207" s="31">
        <f>($J207/($J$130*100))*(I$130*100)</f>
        <v/>
      </c>
      <c r="J207" s="31">
        <f>P207/(1-$N$130)</f>
        <v/>
      </c>
      <c r="K207" s="31">
        <f>($J207/($J$130*100))*(K$130*100)</f>
        <v/>
      </c>
      <c r="L207" s="31">
        <f>($J207/($J$130*100))*(L$130*100)</f>
        <v/>
      </c>
      <c r="M207" s="31" t="n"/>
      <c r="N207" s="32">
        <f>SUM(H207:L207)</f>
        <v/>
      </c>
      <c r="P207" s="31" t="n">
        <v>79.99999999999999</v>
      </c>
      <c r="T207" s="210" t="n">
        <v>163.2653061224489</v>
      </c>
      <c r="W207" s="217">
        <f>IFERROR((N207-T207)/T207, 0)</f>
        <v/>
      </c>
      <c r="BC207" s="2" t="n"/>
      <c r="BD207" s="2" t="n"/>
      <c r="BE207" s="2" t="n"/>
      <c r="BF207" s="2" t="n"/>
      <c r="BG207" s="2" t="n"/>
      <c r="BH207" s="2" t="n"/>
      <c r="BI207" s="2" t="n"/>
      <c r="BJ207" s="2" t="n"/>
      <c r="BK207" s="2" t="n"/>
      <c r="BL207" s="2" t="n"/>
      <c r="BM207" s="2" t="n"/>
      <c r="BN207" s="2" t="n"/>
      <c r="BO207" s="2" t="n"/>
      <c r="BP207" s="2" t="n"/>
      <c r="BQ207" s="2" t="n"/>
      <c r="BR207" s="2" t="n"/>
      <c r="BS207" s="2" t="n"/>
      <c r="BT207" s="2" t="n"/>
      <c r="BU207" s="2" t="n"/>
      <c r="BV207" s="2" t="n"/>
      <c r="BW207" s="2" t="n"/>
      <c r="BX207" s="2" t="n"/>
      <c r="BY207" s="2" t="n"/>
      <c r="BZ207" s="2" t="n"/>
      <c r="CA207" s="2" t="n"/>
    </row>
    <row r="208" hidden="1" customFormat="1" s="1">
      <c r="A208" s="2" t="n"/>
      <c r="B208" s="413" t="inlineStr">
        <is>
          <t>Novo</t>
        </is>
      </c>
      <c r="C208" s="413">
        <f>F208</f>
        <v/>
      </c>
      <c r="D208" s="413" t="inlineStr">
        <is>
          <t>Alta</t>
        </is>
      </c>
      <c r="E208" s="30">
        <f>CONCATENATE(B208,C208,D208)</f>
        <v/>
      </c>
      <c r="F208" s="5" t="inlineStr">
        <is>
          <t>Estrutura</t>
        </is>
      </c>
      <c r="G208" s="31" t="n"/>
      <c r="H208" s="31">
        <f>($J208/($J$130*100))*(H$130*100)</f>
        <v/>
      </c>
      <c r="I208" s="31">
        <f>($J208/($J$130*100))*(I$130*100)</f>
        <v/>
      </c>
      <c r="J208" s="31">
        <f>P208/(1-$N$130)</f>
        <v/>
      </c>
      <c r="K208" s="31">
        <f>($J208/($J$130*100))*(K$130*100)</f>
        <v/>
      </c>
      <c r="L208" s="31">
        <f>($J208/($J$130*100))*(L$130*100)</f>
        <v/>
      </c>
      <c r="M208" s="31" t="n"/>
      <c r="N208" s="32">
        <f>SUM(H208:L208)</f>
        <v/>
      </c>
      <c r="P208" s="31" t="n">
        <v>70</v>
      </c>
      <c r="T208" s="210" t="n">
        <v>142.8571428571429</v>
      </c>
      <c r="W208" s="217">
        <f>IFERROR((N208-T208)/T208, 0)</f>
        <v/>
      </c>
      <c r="BC208" s="2" t="n"/>
      <c r="BD208" s="2" t="n"/>
      <c r="BE208" s="2" t="n"/>
      <c r="BF208" s="2" t="n"/>
      <c r="BG208" s="2" t="n"/>
      <c r="BH208" s="2" t="n"/>
      <c r="BI208" s="2" t="n"/>
      <c r="BJ208" s="2" t="n"/>
      <c r="BK208" s="2" t="n"/>
      <c r="BL208" s="2" t="n"/>
      <c r="BM208" s="2" t="n"/>
      <c r="BN208" s="2" t="n"/>
      <c r="BO208" s="2" t="n"/>
      <c r="BP208" s="2" t="n"/>
      <c r="BQ208" s="2" t="n"/>
      <c r="BR208" s="2" t="n"/>
      <c r="BS208" s="2" t="n"/>
      <c r="BT208" s="2" t="n"/>
      <c r="BU208" s="2" t="n"/>
      <c r="BV208" s="2" t="n"/>
      <c r="BW208" s="2" t="n"/>
      <c r="BX208" s="2" t="n"/>
      <c r="BY208" s="2" t="n"/>
      <c r="BZ208" s="2" t="n"/>
      <c r="CA208" s="2" t="n"/>
    </row>
    <row r="209" hidden="1" customFormat="1" s="1">
      <c r="A209" s="2" t="n"/>
      <c r="B209" s="413" t="inlineStr">
        <is>
          <t>Novo</t>
        </is>
      </c>
      <c r="C209" s="413">
        <f>F209</f>
        <v/>
      </c>
      <c r="D209" s="413" t="inlineStr">
        <is>
          <t>Alta</t>
        </is>
      </c>
      <c r="E209" s="30">
        <f>CONCATENATE(B209,C209,D209)</f>
        <v/>
      </c>
      <c r="F209" s="5" t="inlineStr">
        <is>
          <t>Treinamento / Manual</t>
        </is>
      </c>
      <c r="G209" s="31" t="n"/>
      <c r="H209" s="31" t="n">
        <v>0</v>
      </c>
      <c r="I209" s="31" t="n">
        <v>0</v>
      </c>
      <c r="J209" s="31">
        <f>P209/(1-$N$130)</f>
        <v/>
      </c>
      <c r="K209" s="31" t="n">
        <v>0</v>
      </c>
      <c r="L209" s="31" t="n">
        <v>0</v>
      </c>
      <c r="M209" s="31" t="n"/>
      <c r="N209" s="32">
        <f>SUM(H209:L209)</f>
        <v/>
      </c>
      <c r="P209" s="31" t="n">
        <v>24</v>
      </c>
      <c r="T209" s="210" t="n">
        <v>24</v>
      </c>
      <c r="W209" s="217">
        <f>IFERROR((N209-T209)/T209, 0)</f>
        <v/>
      </c>
      <c r="BC209" s="2" t="n"/>
      <c r="BD209" s="2" t="n"/>
      <c r="BE209" s="2" t="n"/>
      <c r="BF209" s="2" t="n"/>
      <c r="BG209" s="2" t="n"/>
      <c r="BH209" s="2" t="n"/>
      <c r="BI209" s="2" t="n"/>
      <c r="BJ209" s="2" t="n"/>
      <c r="BK209" s="2" t="n"/>
      <c r="BL209" s="2" t="n"/>
      <c r="BM209" s="2" t="n"/>
      <c r="BN209" s="2" t="n"/>
      <c r="BO209" s="2" t="n"/>
      <c r="BP209" s="2" t="n"/>
      <c r="BQ209" s="2" t="n"/>
      <c r="BR209" s="2" t="n"/>
      <c r="BS209" s="2" t="n"/>
      <c r="BT209" s="2" t="n"/>
      <c r="BU209" s="2" t="n"/>
      <c r="BV209" s="2" t="n"/>
      <c r="BW209" s="2" t="n"/>
      <c r="BX209" s="2" t="n"/>
      <c r="BY209" s="2" t="n"/>
      <c r="BZ209" s="2" t="n"/>
      <c r="CA209" s="2" t="n"/>
    </row>
    <row r="210" hidden="1" customFormat="1" s="1">
      <c r="A210" s="2" t="n"/>
      <c r="B210" s="413" t="inlineStr">
        <is>
          <t>Novo</t>
        </is>
      </c>
      <c r="C210" s="413">
        <f>F210</f>
        <v/>
      </c>
      <c r="D210" s="413" t="inlineStr">
        <is>
          <t>Alta</t>
        </is>
      </c>
      <c r="E210" s="30">
        <f>CONCATENATE(B210,C210,D210)</f>
        <v/>
      </c>
      <c r="F210" s="5" t="inlineStr">
        <is>
          <t>Tarefa padrão</t>
        </is>
      </c>
      <c r="G210" s="31" t="n"/>
      <c r="H210" s="31">
        <f>($J210/($J$130*100))*(H$130*100)</f>
        <v/>
      </c>
      <c r="I210" s="31">
        <f>($J210/($J$130*100))*(I$130*100)</f>
        <v/>
      </c>
      <c r="J210" s="31">
        <f>P210/(1-$N$130)</f>
        <v/>
      </c>
      <c r="K210" s="31">
        <f>($J210/($J$130*100))*(K$130*100)</f>
        <v/>
      </c>
      <c r="L210" s="31">
        <f>($J210/($J$130*100))*(L$130*100)</f>
        <v/>
      </c>
      <c r="M210" s="31" t="n"/>
      <c r="N210" s="32">
        <f>SUM(H210:L210)</f>
        <v/>
      </c>
      <c r="P210" s="31" t="n">
        <v>0</v>
      </c>
      <c r="T210" s="210" t="n">
        <v>0</v>
      </c>
      <c r="W210" s="217">
        <f>IFERROR((N210-T210)/T210, 0)</f>
        <v/>
      </c>
      <c r="BC210" s="2" t="n"/>
      <c r="BD210" s="2" t="n"/>
      <c r="BE210" s="2" t="n"/>
      <c r="BF210" s="2" t="n"/>
      <c r="BG210" s="2" t="n"/>
      <c r="BH210" s="2" t="n"/>
      <c r="BI210" s="2" t="n"/>
      <c r="BJ210" s="2" t="n"/>
      <c r="BK210" s="2" t="n"/>
      <c r="BL210" s="2" t="n"/>
      <c r="BM210" s="2" t="n"/>
      <c r="BN210" s="2" t="n"/>
      <c r="BO210" s="2" t="n"/>
      <c r="BP210" s="2" t="n"/>
      <c r="BQ210" s="2" t="n"/>
      <c r="BR210" s="2" t="n"/>
      <c r="BS210" s="2" t="n"/>
      <c r="BT210" s="2" t="n"/>
      <c r="BU210" s="2" t="n"/>
      <c r="BV210" s="2" t="n"/>
      <c r="BW210" s="2" t="n"/>
      <c r="BX210" s="2" t="n"/>
      <c r="BY210" s="2" t="n"/>
      <c r="BZ210" s="2" t="n"/>
      <c r="CA210" s="2" t="n"/>
    </row>
    <row r="211" hidden="1" customFormat="1" s="1">
      <c r="A211" s="2" t="n"/>
      <c r="B211" s="30" t="inlineStr">
        <is>
          <t>Ajuste</t>
        </is>
      </c>
      <c r="C211" s="413">
        <f>F211</f>
        <v/>
      </c>
      <c r="D211" s="413" t="inlineStr">
        <is>
          <t>Alta</t>
        </is>
      </c>
      <c r="E211" s="30">
        <f>CONCATENATE(B211,C211,D211)</f>
        <v/>
      </c>
      <c r="F211" s="9" t="inlineStr">
        <is>
          <t>Apresentação</t>
        </is>
      </c>
      <c r="G211" s="31" t="n"/>
      <c r="H211" s="31">
        <f>($J211/($J$130*100))*(H$130*100)</f>
        <v/>
      </c>
      <c r="I211" s="31">
        <f>($J211/($J$130*100))*(I$130*100)</f>
        <v/>
      </c>
      <c r="J211" s="31">
        <f>P211/(1-$N$130)</f>
        <v/>
      </c>
      <c r="K211" s="31">
        <f>($J211/($J$130*100))*(K$130*100)</f>
        <v/>
      </c>
      <c r="L211" s="31">
        <f>($J211/($J$130*100))*(L$130*100)</f>
        <v/>
      </c>
      <c r="M211" s="31" t="n"/>
      <c r="N211" s="32">
        <f>SUM(H211:L211)</f>
        <v/>
      </c>
      <c r="P211" s="31" t="n">
        <v>18</v>
      </c>
      <c r="T211" s="210" t="n">
        <v>36.73469387755102</v>
      </c>
      <c r="W211" s="217">
        <f>IFERROR((N211-T211)/T211, 0)</f>
        <v/>
      </c>
      <c r="BC211" s="2" t="n"/>
      <c r="BD211" s="2" t="n"/>
      <c r="BE211" s="2" t="n"/>
      <c r="BF211" s="2" t="n"/>
      <c r="BG211" s="2" t="n"/>
      <c r="BH211" s="2" t="n"/>
      <c r="BI211" s="2" t="n"/>
      <c r="BJ211" s="2" t="n"/>
      <c r="BK211" s="2" t="n"/>
      <c r="BL211" s="2" t="n"/>
      <c r="BM211" s="2" t="n"/>
      <c r="BN211" s="2" t="n"/>
      <c r="BO211" s="2" t="n"/>
      <c r="BP211" s="2" t="n"/>
      <c r="BQ211" s="2" t="n"/>
      <c r="BR211" s="2" t="n"/>
      <c r="BS211" s="2" t="n"/>
      <c r="BT211" s="2" t="n"/>
      <c r="BU211" s="2" t="n"/>
      <c r="BV211" s="2" t="n"/>
      <c r="BW211" s="2" t="n"/>
      <c r="BX211" s="2" t="n"/>
      <c r="BY211" s="2" t="n"/>
      <c r="BZ211" s="2" t="n"/>
      <c r="CA211" s="2" t="n"/>
    </row>
    <row r="212" hidden="1" customFormat="1" s="1">
      <c r="A212" s="2" t="n"/>
      <c r="B212" s="30" t="inlineStr">
        <is>
          <t>Ajuste</t>
        </is>
      </c>
      <c r="C212" s="413">
        <f>F212</f>
        <v/>
      </c>
      <c r="D212" s="413" t="inlineStr">
        <is>
          <t>Alta</t>
        </is>
      </c>
      <c r="E212" s="30">
        <f>CONCATENATE(B212,C212,D212)</f>
        <v/>
      </c>
      <c r="F212" s="9" t="inlineStr">
        <is>
          <t>Workflow</t>
        </is>
      </c>
      <c r="G212" s="31" t="n"/>
      <c r="H212" s="31">
        <f>($J212/($J$130*100))*(H$130*100)</f>
        <v/>
      </c>
      <c r="I212" s="31">
        <f>($J212/($J$130*100))*(I$130*100)</f>
        <v/>
      </c>
      <c r="J212" s="31">
        <f>P212/(1-$N$130)</f>
        <v/>
      </c>
      <c r="K212" s="31">
        <f>($J212/($J$130*100))*(K$130*100)</f>
        <v/>
      </c>
      <c r="L212" s="31">
        <f>($J212/($J$130*100))*(L$130*100)</f>
        <v/>
      </c>
      <c r="M212" s="31" t="n"/>
      <c r="N212" s="32">
        <f>SUM(H212:L212)</f>
        <v/>
      </c>
      <c r="P212" s="31" t="n">
        <v>39.99999999999999</v>
      </c>
      <c r="T212" s="210" t="n">
        <v>81.63265306122447</v>
      </c>
      <c r="W212" s="217">
        <f>IFERROR((N212-T212)/T212, 0)</f>
        <v/>
      </c>
      <c r="BC212" s="2" t="n"/>
      <c r="BD212" s="2" t="n"/>
      <c r="BE212" s="2" t="n"/>
      <c r="BF212" s="2" t="n"/>
      <c r="BG212" s="2" t="n"/>
      <c r="BH212" s="2" t="n"/>
      <c r="BI212" s="2" t="n"/>
      <c r="BJ212" s="2" t="n"/>
      <c r="BK212" s="2" t="n"/>
      <c r="BL212" s="2" t="n"/>
      <c r="BM212" s="2" t="n"/>
      <c r="BN212" s="2" t="n"/>
      <c r="BO212" s="2" t="n"/>
      <c r="BP212" s="2" t="n"/>
      <c r="BQ212" s="2" t="n"/>
      <c r="BR212" s="2" t="n"/>
      <c r="BS212" s="2" t="n"/>
      <c r="BT212" s="2" t="n"/>
      <c r="BU212" s="2" t="n"/>
      <c r="BV212" s="2" t="n"/>
      <c r="BW212" s="2" t="n"/>
      <c r="BX212" s="2" t="n"/>
      <c r="BY212" s="2" t="n"/>
      <c r="BZ212" s="2" t="n"/>
      <c r="CA212" s="2" t="n"/>
    </row>
    <row r="213" hidden="1" customFormat="1" s="1">
      <c r="A213" s="2" t="n"/>
      <c r="B213" s="30" t="inlineStr">
        <is>
          <t>Ajuste</t>
        </is>
      </c>
      <c r="C213" s="413">
        <f>F213</f>
        <v/>
      </c>
      <c r="D213" s="413" t="inlineStr">
        <is>
          <t>Alta</t>
        </is>
      </c>
      <c r="E213" s="30">
        <f>CONCATENATE(B213,C213,D213)</f>
        <v/>
      </c>
      <c r="F213" s="9" t="inlineStr">
        <is>
          <t>Estrutura</t>
        </is>
      </c>
      <c r="G213" s="31" t="n"/>
      <c r="H213" s="31">
        <f>($J213/($J$130*100))*(H$130*100)</f>
        <v/>
      </c>
      <c r="I213" s="31">
        <f>($J213/($J$130*100))*(I$130*100)</f>
        <v/>
      </c>
      <c r="J213" s="31">
        <f>P213/(1-$N$130)</f>
        <v/>
      </c>
      <c r="K213" s="31">
        <f>($J213/($J$130*100))*(K$130*100)</f>
        <v/>
      </c>
      <c r="L213" s="31">
        <f>($J213/($J$130*100))*(L$130*100)</f>
        <v/>
      </c>
      <c r="M213" s="31" t="n"/>
      <c r="N213" s="32">
        <f>SUM(H213:L213)</f>
        <v/>
      </c>
      <c r="P213" s="31" t="n">
        <v>35</v>
      </c>
      <c r="T213" s="210" t="n">
        <v>71.42857142857143</v>
      </c>
      <c r="W213" s="217">
        <f>IFERROR((N213-T213)/T213, 0)</f>
        <v/>
      </c>
      <c r="BC213" s="2" t="n"/>
      <c r="BD213" s="2" t="n"/>
      <c r="BE213" s="2" t="n"/>
      <c r="BF213" s="2" t="n"/>
      <c r="BG213" s="2" t="n"/>
      <c r="BH213" s="2" t="n"/>
      <c r="BI213" s="2" t="n"/>
      <c r="BJ213" s="2" t="n"/>
      <c r="BK213" s="2" t="n"/>
      <c r="BL213" s="2" t="n"/>
      <c r="BM213" s="2" t="n"/>
      <c r="BN213" s="2" t="n"/>
      <c r="BO213" s="2" t="n"/>
      <c r="BP213" s="2" t="n"/>
      <c r="BQ213" s="2" t="n"/>
      <c r="BR213" s="2" t="n"/>
      <c r="BS213" s="2" t="n"/>
      <c r="BT213" s="2" t="n"/>
      <c r="BU213" s="2" t="n"/>
      <c r="BV213" s="2" t="n"/>
      <c r="BW213" s="2" t="n"/>
      <c r="BX213" s="2" t="n"/>
      <c r="BY213" s="2" t="n"/>
      <c r="BZ213" s="2" t="n"/>
      <c r="CA213" s="2" t="n"/>
    </row>
    <row r="214" hidden="1" customFormat="1" s="1">
      <c r="A214" s="2" t="n"/>
      <c r="B214" s="30" t="inlineStr">
        <is>
          <t>Ajuste</t>
        </is>
      </c>
      <c r="C214" s="413">
        <f>F214</f>
        <v/>
      </c>
      <c r="D214" s="413" t="inlineStr">
        <is>
          <t>Alta</t>
        </is>
      </c>
      <c r="E214" s="30">
        <f>CONCATENATE(B214,C214,D214)</f>
        <v/>
      </c>
      <c r="F214" s="9" t="n"/>
      <c r="G214" s="31" t="n"/>
      <c r="H214" s="31">
        <f>($J214/($J$130*100))*(H$130*100)</f>
        <v/>
      </c>
      <c r="I214" s="31">
        <f>($J214/($J$130*100))*(I$130*100)</f>
        <v/>
      </c>
      <c r="J214" s="31">
        <f>P214/(1-$N$130)</f>
        <v/>
      </c>
      <c r="K214" s="31">
        <f>($J214/($J$130*100))*(K$130*100)</f>
        <v/>
      </c>
      <c r="L214" s="31">
        <f>($J214/($J$130*100))*(L$130*100)</f>
        <v/>
      </c>
      <c r="M214" s="31" t="n"/>
      <c r="N214" s="32">
        <f>SUM(H214:L214)</f>
        <v/>
      </c>
      <c r="P214" s="31" t="n"/>
      <c r="BC214" s="2" t="n"/>
      <c r="BD214" s="2" t="n"/>
      <c r="BE214" s="2" t="n"/>
      <c r="BF214" s="2" t="n"/>
      <c r="BG214" s="2" t="n"/>
      <c r="BH214" s="2" t="n"/>
      <c r="BI214" s="2" t="n"/>
      <c r="BJ214" s="2" t="n"/>
      <c r="BK214" s="2" t="n"/>
      <c r="BL214" s="2" t="n"/>
      <c r="BM214" s="2" t="n"/>
      <c r="BN214" s="2" t="n"/>
      <c r="BO214" s="2" t="n"/>
      <c r="BP214" s="2" t="n"/>
      <c r="BQ214" s="2" t="n"/>
      <c r="BR214" s="2" t="n"/>
      <c r="BS214" s="2" t="n"/>
      <c r="BT214" s="2" t="n"/>
      <c r="BU214" s="2" t="n"/>
      <c r="BV214" s="2" t="n"/>
      <c r="BW214" s="2" t="n"/>
      <c r="BX214" s="2" t="n"/>
      <c r="BY214" s="2" t="n"/>
      <c r="BZ214" s="2" t="n"/>
      <c r="CA214" s="2" t="n"/>
    </row>
    <row r="215" hidden="1" customFormat="1" s="1">
      <c r="A215" s="2" t="n"/>
      <c r="B215" s="30" t="inlineStr">
        <is>
          <t>Ajuste</t>
        </is>
      </c>
      <c r="C215" s="413">
        <f>F215</f>
        <v/>
      </c>
      <c r="D215" s="413" t="inlineStr">
        <is>
          <t>Alta</t>
        </is>
      </c>
      <c r="E215" s="30">
        <f>CONCATENATE(B215,C215,D215)</f>
        <v/>
      </c>
      <c r="F215" s="9" t="n"/>
      <c r="G215" s="31" t="n"/>
      <c r="H215" s="31">
        <f>($J215/($J$130*100))*(H$130*100)</f>
        <v/>
      </c>
      <c r="I215" s="31">
        <f>($J215/($J$130*100))*(I$130*100)</f>
        <v/>
      </c>
      <c r="J215" s="31">
        <f>P215/(1-$N$130)</f>
        <v/>
      </c>
      <c r="K215" s="31">
        <f>($J215/($J$130*100))*(K$130*100)</f>
        <v/>
      </c>
      <c r="L215" s="31">
        <f>($J215/($J$130*100))*(L$130*100)</f>
        <v/>
      </c>
      <c r="M215" s="31" t="n"/>
      <c r="N215" s="32">
        <f>SUM(H215:L215)</f>
        <v/>
      </c>
      <c r="P215" s="31" t="n"/>
      <c r="BC215" s="2" t="n"/>
      <c r="BD215" s="2" t="n"/>
      <c r="BE215" s="2" t="n"/>
      <c r="BF215" s="2" t="n"/>
      <c r="BG215" s="2" t="n"/>
      <c r="BH215" s="2" t="n"/>
      <c r="BI215" s="2" t="n"/>
      <c r="BJ215" s="2" t="n"/>
      <c r="BK215" s="2" t="n"/>
      <c r="BL215" s="2" t="n"/>
      <c r="BM215" s="2" t="n"/>
      <c r="BN215" s="2" t="n"/>
      <c r="BO215" s="2" t="n"/>
      <c r="BP215" s="2" t="n"/>
      <c r="BQ215" s="2" t="n"/>
      <c r="BR215" s="2" t="n"/>
      <c r="BS215" s="2" t="n"/>
      <c r="BT215" s="2" t="n"/>
      <c r="BU215" s="2" t="n"/>
      <c r="BV215" s="2" t="n"/>
      <c r="BW215" s="2" t="n"/>
      <c r="BX215" s="2" t="n"/>
      <c r="BY215" s="2" t="n"/>
      <c r="BZ215" s="2" t="n"/>
      <c r="CA215" s="2" t="n"/>
    </row>
    <row r="216" hidden="1" customFormat="1" s="1">
      <c r="A216" s="2" t="n"/>
      <c r="B216" s="30" t="inlineStr">
        <is>
          <t>Ajuste</t>
        </is>
      </c>
      <c r="C216" s="413">
        <f>F216</f>
        <v/>
      </c>
      <c r="D216" s="413" t="inlineStr">
        <is>
          <t>Alta</t>
        </is>
      </c>
      <c r="E216" s="30">
        <f>CONCATENATE(B216,C216,D216)</f>
        <v/>
      </c>
      <c r="F216" s="9" t="n"/>
      <c r="G216" s="31" t="n"/>
      <c r="H216" s="31">
        <f>($J216/($J$130*100))*(H$130*100)</f>
        <v/>
      </c>
      <c r="I216" s="31">
        <f>($J216/($J$130*100))*(I$130*100)</f>
        <v/>
      </c>
      <c r="J216" s="31">
        <f>P216/(1-$N$130)</f>
        <v/>
      </c>
      <c r="K216" s="31">
        <f>($J216/($J$130*100))*(K$130*100)</f>
        <v/>
      </c>
      <c r="L216" s="31">
        <f>($J216/($J$130*100))*(L$130*100)</f>
        <v/>
      </c>
      <c r="M216" s="31" t="n"/>
      <c r="N216" s="32">
        <f>SUM(H216:L216)</f>
        <v/>
      </c>
      <c r="P216" s="31" t="n"/>
      <c r="BC216" s="2" t="n"/>
      <c r="BD216" s="2" t="n"/>
      <c r="BE216" s="2" t="n"/>
      <c r="BF216" s="2" t="n"/>
      <c r="BG216" s="2" t="n"/>
      <c r="BH216" s="2" t="n"/>
      <c r="BI216" s="2" t="n"/>
      <c r="BJ216" s="2" t="n"/>
      <c r="BK216" s="2" t="n"/>
      <c r="BL216" s="2" t="n"/>
      <c r="BM216" s="2" t="n"/>
      <c r="BN216" s="2" t="n"/>
      <c r="BO216" s="2" t="n"/>
      <c r="BP216" s="2" t="n"/>
      <c r="BQ216" s="2" t="n"/>
      <c r="BR216" s="2" t="n"/>
      <c r="BS216" s="2" t="n"/>
      <c r="BT216" s="2" t="n"/>
      <c r="BU216" s="2" t="n"/>
      <c r="BV216" s="2" t="n"/>
      <c r="BW216" s="2" t="n"/>
      <c r="BX216" s="2" t="n"/>
      <c r="BY216" s="2" t="n"/>
      <c r="BZ216" s="2" t="n"/>
      <c r="CA216" s="2" t="n"/>
    </row>
    <row r="217" hidden="1" ht="13.9" customFormat="1" customHeight="1" s="1" thickBot="1">
      <c r="A217" s="2" t="n"/>
      <c r="B217" s="30" t="inlineStr">
        <is>
          <t>Ajuste</t>
        </is>
      </c>
      <c r="C217" s="413">
        <f>F217</f>
        <v/>
      </c>
      <c r="D217" s="413" t="inlineStr">
        <is>
          <t>Alta</t>
        </is>
      </c>
      <c r="E217" s="30">
        <f>CONCATENATE(B217,C217,D217)</f>
        <v/>
      </c>
      <c r="F217" s="10" t="n"/>
      <c r="G217" s="31" t="n"/>
      <c r="H217" s="31">
        <f>($J217/($J$130*100))*(H$130*100)</f>
        <v/>
      </c>
      <c r="I217" s="31">
        <f>($J217/($J$130*100))*(I$130*100)</f>
        <v/>
      </c>
      <c r="J217" s="31">
        <f>P217/(1-$N$130)</f>
        <v/>
      </c>
      <c r="K217" s="31">
        <f>($J217/($J$130*100))*(K$130*100)</f>
        <v/>
      </c>
      <c r="L217" s="31">
        <f>($J217/($J$130*100))*(L$130*100)</f>
        <v/>
      </c>
      <c r="M217" s="31" t="n"/>
      <c r="N217" s="32">
        <f>SUM(H217:L217)</f>
        <v/>
      </c>
      <c r="P217" s="31" t="n"/>
      <c r="BC217" s="2" t="n"/>
      <c r="BD217" s="2" t="n"/>
      <c r="BE217" s="2" t="n"/>
      <c r="BF217" s="2" t="n"/>
      <c r="BG217" s="2" t="n"/>
      <c r="BH217" s="2" t="n"/>
      <c r="BI217" s="2" t="n"/>
      <c r="BJ217" s="2" t="n"/>
      <c r="BK217" s="2" t="n"/>
      <c r="BL217" s="2" t="n"/>
      <c r="BM217" s="2" t="n"/>
      <c r="BN217" s="2" t="n"/>
      <c r="BO217" s="2" t="n"/>
      <c r="BP217" s="2" t="n"/>
      <c r="BQ217" s="2" t="n"/>
      <c r="BR217" s="2" t="n"/>
      <c r="BS217" s="2" t="n"/>
      <c r="BT217" s="2" t="n"/>
      <c r="BU217" s="2" t="n"/>
      <c r="BV217" s="2" t="n"/>
      <c r="BW217" s="2" t="n"/>
      <c r="BX217" s="2" t="n"/>
      <c r="BY217" s="2" t="n"/>
      <c r="BZ217" s="2" t="n"/>
      <c r="CA217" s="2" t="n"/>
    </row>
    <row r="218" hidden="1" customFormat="1" s="1">
      <c r="A218" s="2" t="n"/>
      <c r="B218" s="30" t="inlineStr">
        <is>
          <t>Ajuste</t>
        </is>
      </c>
      <c r="C218" s="413">
        <f>F218</f>
        <v/>
      </c>
      <c r="D218" s="413" t="inlineStr">
        <is>
          <t>Alta</t>
        </is>
      </c>
      <c r="E218" s="30">
        <f>CONCATENATE(B218,C218,D218)</f>
        <v/>
      </c>
      <c r="F218" s="9" t="n"/>
      <c r="G218" s="33" t="n"/>
      <c r="H218" s="31">
        <f>($J218/($J$130*100))*(H$130*100)</f>
        <v/>
      </c>
      <c r="I218" s="31">
        <f>($J218/($J$130*100))*(I$130*100)</f>
        <v/>
      </c>
      <c r="J218" s="31">
        <f>P218/(1-$N$130)</f>
        <v/>
      </c>
      <c r="K218" s="31">
        <f>($J218/($J$130*100))*(K$130*100)</f>
        <v/>
      </c>
      <c r="L218" s="31">
        <f>($J218/($J$130*100))*(L$130*100)</f>
        <v/>
      </c>
      <c r="M218" s="31" t="n"/>
      <c r="N218" s="32">
        <f>SUM(H218:L218)</f>
        <v/>
      </c>
      <c r="P218" s="31" t="n"/>
      <c r="BC218" s="2" t="n"/>
      <c r="BD218" s="2" t="n"/>
      <c r="BE218" s="2" t="n"/>
      <c r="BF218" s="2" t="n"/>
      <c r="BG218" s="2" t="n"/>
      <c r="BH218" s="2" t="n"/>
      <c r="BI218" s="2" t="n"/>
      <c r="BJ218" s="2" t="n"/>
      <c r="BK218" s="2" t="n"/>
      <c r="BL218" s="2" t="n"/>
      <c r="BM218" s="2" t="n"/>
      <c r="BN218" s="2" t="n"/>
      <c r="BO218" s="2" t="n"/>
      <c r="BP218" s="2" t="n"/>
      <c r="BQ218" s="2" t="n"/>
      <c r="BR218" s="2" t="n"/>
      <c r="BS218" s="2" t="n"/>
      <c r="BT218" s="2" t="n"/>
      <c r="BU218" s="2" t="n"/>
      <c r="BV218" s="2" t="n"/>
      <c r="BW218" s="2" t="n"/>
      <c r="BX218" s="2" t="n"/>
      <c r="BY218" s="2" t="n"/>
      <c r="BZ218" s="2" t="n"/>
      <c r="CA218" s="2" t="n"/>
    </row>
    <row r="219" hidden="1" customFormat="1" s="1">
      <c r="A219" s="2" t="n"/>
      <c r="B219" s="30" t="inlineStr">
        <is>
          <t>Ajuste</t>
        </is>
      </c>
      <c r="C219" s="413">
        <f>F219</f>
        <v/>
      </c>
      <c r="D219" s="413" t="inlineStr">
        <is>
          <t>Alta</t>
        </is>
      </c>
      <c r="E219" s="30">
        <f>CONCATENATE(B219,C219,D219)</f>
        <v/>
      </c>
      <c r="F219" s="9" t="n"/>
      <c r="G219" s="33" t="n"/>
      <c r="H219" s="31">
        <f>($J219/($J$130*100))*(H$130*100)</f>
        <v/>
      </c>
      <c r="I219" s="31">
        <f>($J219/($J$130*100))*(I$130*100)</f>
        <v/>
      </c>
      <c r="J219" s="31">
        <f>P219/(1-$N$130)</f>
        <v/>
      </c>
      <c r="K219" s="31">
        <f>($J219/($J$130*100))*(K$130*100)</f>
        <v/>
      </c>
      <c r="L219" s="31">
        <f>($J219/($J$130*100))*(L$130*100)</f>
        <v/>
      </c>
      <c r="M219" s="31" t="n"/>
      <c r="N219" s="32">
        <f>SUM(H219:L219)</f>
        <v/>
      </c>
      <c r="P219" s="31" t="n"/>
      <c r="BC219" s="2" t="n"/>
      <c r="BD219" s="2" t="n"/>
      <c r="BE219" s="2" t="n"/>
      <c r="BF219" s="2" t="n"/>
      <c r="BG219" s="2" t="n"/>
      <c r="BH219" s="2" t="n"/>
      <c r="BI219" s="2" t="n"/>
      <c r="BJ219" s="2" t="n"/>
      <c r="BK219" s="2" t="n"/>
      <c r="BL219" s="2" t="n"/>
      <c r="BM219" s="2" t="n"/>
      <c r="BN219" s="2" t="n"/>
      <c r="BO219" s="2" t="n"/>
      <c r="BP219" s="2" t="n"/>
      <c r="BQ219" s="2" t="n"/>
      <c r="BR219" s="2" t="n"/>
      <c r="BS219" s="2" t="n"/>
      <c r="BT219" s="2" t="n"/>
      <c r="BU219" s="2" t="n"/>
      <c r="BV219" s="2" t="n"/>
      <c r="BW219" s="2" t="n"/>
      <c r="BX219" s="2" t="n"/>
      <c r="BY219" s="2" t="n"/>
      <c r="BZ219" s="2" t="n"/>
      <c r="CA219" s="2" t="n"/>
    </row>
    <row r="220" hidden="1" customFormat="1" s="1">
      <c r="A220" s="2" t="n"/>
      <c r="B220" s="30" t="inlineStr">
        <is>
          <t>Ajuste</t>
        </is>
      </c>
      <c r="C220" s="413">
        <f>F220</f>
        <v/>
      </c>
      <c r="D220" s="413" t="inlineStr">
        <is>
          <t>Alta</t>
        </is>
      </c>
      <c r="E220" s="30">
        <f>CONCATENATE(B220,C220,D220)</f>
        <v/>
      </c>
      <c r="F220" s="9" t="n"/>
      <c r="G220" s="33" t="n"/>
      <c r="H220" s="31">
        <f>($J220/($J$130*100))*(H$130*100)</f>
        <v/>
      </c>
      <c r="I220" s="31">
        <f>($J220/($J$130*100))*(I$130*100)</f>
        <v/>
      </c>
      <c r="J220" s="31">
        <f>P220/(1-$N$130)</f>
        <v/>
      </c>
      <c r="K220" s="31">
        <f>($J220/($J$130*100))*(K$130*100)</f>
        <v/>
      </c>
      <c r="L220" s="31">
        <f>($J220/($J$130*100))*(L$130*100)</f>
        <v/>
      </c>
      <c r="M220" s="31" t="n"/>
      <c r="N220" s="32">
        <f>SUM(H220:L220)</f>
        <v/>
      </c>
      <c r="P220" s="31" t="n"/>
      <c r="BC220" s="2" t="n"/>
      <c r="BD220" s="2" t="n"/>
      <c r="BE220" s="2" t="n"/>
      <c r="BF220" s="2" t="n"/>
      <c r="BG220" s="2" t="n"/>
      <c r="BH220" s="2" t="n"/>
      <c r="BI220" s="2" t="n"/>
      <c r="BJ220" s="2" t="n"/>
      <c r="BK220" s="2" t="n"/>
      <c r="BL220" s="2" t="n"/>
      <c r="BM220" s="2" t="n"/>
      <c r="BN220" s="2" t="n"/>
      <c r="BO220" s="2" t="n"/>
      <c r="BP220" s="2" t="n"/>
      <c r="BQ220" s="2" t="n"/>
      <c r="BR220" s="2" t="n"/>
      <c r="BS220" s="2" t="n"/>
      <c r="BT220" s="2" t="n"/>
      <c r="BU220" s="2" t="n"/>
      <c r="BV220" s="2" t="n"/>
      <c r="BW220" s="2" t="n"/>
      <c r="BX220" s="2" t="n"/>
      <c r="BY220" s="2" t="n"/>
      <c r="BZ220" s="2" t="n"/>
      <c r="CA220" s="2" t="n"/>
    </row>
    <row r="221" hidden="1" customFormat="1" s="1">
      <c r="A221" s="2" t="n"/>
      <c r="B221" s="30" t="inlineStr">
        <is>
          <t>Ajuste</t>
        </is>
      </c>
      <c r="C221" s="413">
        <f>F221</f>
        <v/>
      </c>
      <c r="D221" s="413" t="inlineStr">
        <is>
          <t>Alta</t>
        </is>
      </c>
      <c r="E221" s="30">
        <f>CONCATENATE(B221,C221,D221)</f>
        <v/>
      </c>
      <c r="F221" s="9" t="n"/>
      <c r="G221" s="33" t="n"/>
      <c r="H221" s="31">
        <f>($J221/($J$130*100))*(H$130*100)</f>
        <v/>
      </c>
      <c r="I221" s="31">
        <f>($J221/($J$130*100))*(I$130*100)</f>
        <v/>
      </c>
      <c r="J221" s="31">
        <f>P221/(1-$N$130)</f>
        <v/>
      </c>
      <c r="K221" s="31">
        <f>($J221/($J$130*100))*(K$130*100)</f>
        <v/>
      </c>
      <c r="L221" s="31">
        <f>($J221/($J$130*100))*(L$130*100)</f>
        <v/>
      </c>
      <c r="M221" s="31" t="n"/>
      <c r="N221" s="32">
        <f>SUM(H221:L221)</f>
        <v/>
      </c>
      <c r="P221" s="31" t="n"/>
      <c r="BC221" s="2" t="n"/>
      <c r="BD221" s="2" t="n"/>
      <c r="BE221" s="2" t="n"/>
      <c r="BF221" s="2" t="n"/>
      <c r="BG221" s="2" t="n"/>
      <c r="BH221" s="2" t="n"/>
      <c r="BI221" s="2" t="n"/>
      <c r="BJ221" s="2" t="n"/>
      <c r="BK221" s="2" t="n"/>
      <c r="BL221" s="2" t="n"/>
      <c r="BM221" s="2" t="n"/>
      <c r="BN221" s="2" t="n"/>
      <c r="BO221" s="2" t="n"/>
      <c r="BP221" s="2" t="n"/>
      <c r="BQ221" s="2" t="n"/>
      <c r="BR221" s="2" t="n"/>
      <c r="BS221" s="2" t="n"/>
      <c r="BT221" s="2" t="n"/>
      <c r="BU221" s="2" t="n"/>
      <c r="BV221" s="2" t="n"/>
      <c r="BW221" s="2" t="n"/>
      <c r="BX221" s="2" t="n"/>
      <c r="BY221" s="2" t="n"/>
      <c r="BZ221" s="2" t="n"/>
      <c r="CA221" s="2" t="n"/>
    </row>
    <row r="222" hidden="1" customFormat="1" s="1">
      <c r="A222" s="2" t="n"/>
      <c r="B222" s="30" t="inlineStr">
        <is>
          <t>Ajuste</t>
        </is>
      </c>
      <c r="C222" s="413">
        <f>F222</f>
        <v/>
      </c>
      <c r="D222" s="413" t="inlineStr">
        <is>
          <t>Alta</t>
        </is>
      </c>
      <c r="E222" s="30">
        <f>CONCATENATE(B222,C222,D222)</f>
        <v/>
      </c>
      <c r="F222" s="9" t="n"/>
      <c r="G222" s="33" t="n"/>
      <c r="H222" s="31">
        <f>($J222/($J$130*100))*(H$130*100)</f>
        <v/>
      </c>
      <c r="I222" s="31">
        <f>($J222/($J$130*100))*(I$130*100)</f>
        <v/>
      </c>
      <c r="J222" s="31">
        <f>P222/(1-$N$130)</f>
        <v/>
      </c>
      <c r="K222" s="31">
        <f>($J222/($J$130*100))*(K$130*100)</f>
        <v/>
      </c>
      <c r="L222" s="31">
        <f>($J222/($J$130*100))*(L$130*100)</f>
        <v/>
      </c>
      <c r="M222" s="31" t="n"/>
      <c r="N222" s="32">
        <f>SUM(H222:L222)</f>
        <v/>
      </c>
      <c r="P222" s="31" t="n"/>
      <c r="BC222" s="2" t="n"/>
      <c r="BD222" s="2" t="n"/>
      <c r="BE222" s="2" t="n"/>
      <c r="BF222" s="2" t="n"/>
      <c r="BG222" s="2" t="n"/>
      <c r="BH222" s="2" t="n"/>
      <c r="BI222" s="2" t="n"/>
      <c r="BJ222" s="2" t="n"/>
      <c r="BK222" s="2" t="n"/>
      <c r="BL222" s="2" t="n"/>
      <c r="BM222" s="2" t="n"/>
      <c r="BN222" s="2" t="n"/>
      <c r="BO222" s="2" t="n"/>
      <c r="BP222" s="2" t="n"/>
      <c r="BQ222" s="2" t="n"/>
      <c r="BR222" s="2" t="n"/>
      <c r="BS222" s="2" t="n"/>
      <c r="BT222" s="2" t="n"/>
      <c r="BU222" s="2" t="n"/>
      <c r="BV222" s="2" t="n"/>
      <c r="BW222" s="2" t="n"/>
      <c r="BX222" s="2" t="n"/>
      <c r="BY222" s="2" t="n"/>
      <c r="BZ222" s="2" t="n"/>
      <c r="CA222" s="2" t="n"/>
    </row>
    <row r="223" hidden="1" customFormat="1" s="1">
      <c r="A223" s="2" t="n"/>
      <c r="B223" s="30" t="inlineStr">
        <is>
          <t>Ajuste</t>
        </is>
      </c>
      <c r="C223" s="413">
        <f>F223</f>
        <v/>
      </c>
      <c r="D223" s="413" t="inlineStr">
        <is>
          <t>Alta</t>
        </is>
      </c>
      <c r="E223" s="30">
        <f>CONCATENATE(B223,C223,D223)</f>
        <v/>
      </c>
      <c r="F223" s="9" t="n"/>
      <c r="G223" s="33" t="n"/>
      <c r="H223" s="31">
        <f>($J223/($J$130*100))*(H$130*100)</f>
        <v/>
      </c>
      <c r="I223" s="31">
        <f>($J223/($J$130*100))*(I$130*100)</f>
        <v/>
      </c>
      <c r="J223" s="31">
        <f>P223/(1-$N$130)</f>
        <v/>
      </c>
      <c r="K223" s="31">
        <f>($J223/($J$130*100))*(K$130*100)</f>
        <v/>
      </c>
      <c r="L223" s="31">
        <f>($J223/($J$130*100))*(L$130*100)</f>
        <v/>
      </c>
      <c r="M223" s="31" t="n"/>
      <c r="N223" s="32">
        <f>SUM(H223:L223)</f>
        <v/>
      </c>
      <c r="P223" s="31" t="n"/>
      <c r="BC223" s="2" t="n"/>
      <c r="BD223" s="2" t="n"/>
      <c r="BE223" s="2" t="n"/>
      <c r="BF223" s="2" t="n"/>
      <c r="BG223" s="2" t="n"/>
      <c r="BH223" s="2" t="n"/>
      <c r="BI223" s="2" t="n"/>
      <c r="BJ223" s="2" t="n"/>
      <c r="BK223" s="2" t="n"/>
      <c r="BL223" s="2" t="n"/>
      <c r="BM223" s="2" t="n"/>
      <c r="BN223" s="2" t="n"/>
      <c r="BO223" s="2" t="n"/>
      <c r="BP223" s="2" t="n"/>
      <c r="BQ223" s="2" t="n"/>
      <c r="BR223" s="2" t="n"/>
      <c r="BS223" s="2" t="n"/>
      <c r="BT223" s="2" t="n"/>
      <c r="BU223" s="2" t="n"/>
      <c r="BV223" s="2" t="n"/>
      <c r="BW223" s="2" t="n"/>
      <c r="BX223" s="2" t="n"/>
      <c r="BY223" s="2" t="n"/>
      <c r="BZ223" s="2" t="n"/>
      <c r="CA223" s="2" t="n"/>
    </row>
    <row r="224" hidden="1" ht="13.9" customFormat="1" customHeight="1" s="1" thickBot="1">
      <c r="A224" s="2" t="n"/>
      <c r="B224" s="30" t="inlineStr">
        <is>
          <t>Ajuste</t>
        </is>
      </c>
      <c r="C224" s="413">
        <f>F224</f>
        <v/>
      </c>
      <c r="D224" s="413" t="inlineStr">
        <is>
          <t>Alta</t>
        </is>
      </c>
      <c r="E224" s="30">
        <f>CONCATENATE(B224,C224,D224)</f>
        <v/>
      </c>
      <c r="F224" s="10" t="n"/>
      <c r="G224" s="33" t="n"/>
      <c r="H224" s="31">
        <f>($J224/($J$130*100))*(H$130*100)</f>
        <v/>
      </c>
      <c r="I224" s="31">
        <f>($J224/($J$130*100))*(I$130*100)</f>
        <v/>
      </c>
      <c r="J224" s="31">
        <f>P224/(1-$N$130)</f>
        <v/>
      </c>
      <c r="K224" s="31">
        <f>($J224/($J$130*100))*(K$130*100)</f>
        <v/>
      </c>
      <c r="L224" s="31">
        <f>($J224/($J$130*100))*(L$130*100)</f>
        <v/>
      </c>
      <c r="M224" s="31" t="n"/>
      <c r="N224" s="32">
        <f>SUM(H224:L224)</f>
        <v/>
      </c>
      <c r="P224" s="31" t="n"/>
      <c r="BC224" s="2" t="n"/>
      <c r="BD224" s="2" t="n"/>
      <c r="BE224" s="2" t="n"/>
      <c r="BF224" s="2" t="n"/>
      <c r="BG224" s="2" t="n"/>
      <c r="BH224" s="2" t="n"/>
      <c r="BI224" s="2" t="n"/>
      <c r="BJ224" s="2" t="n"/>
      <c r="BK224" s="2" t="n"/>
      <c r="BL224" s="2" t="n"/>
      <c r="BM224" s="2" t="n"/>
      <c r="BN224" s="2" t="n"/>
      <c r="BO224" s="2" t="n"/>
      <c r="BP224" s="2" t="n"/>
      <c r="BQ224" s="2" t="n"/>
      <c r="BR224" s="2" t="n"/>
      <c r="BS224" s="2" t="n"/>
      <c r="BT224" s="2" t="n"/>
      <c r="BU224" s="2" t="n"/>
      <c r="BV224" s="2" t="n"/>
      <c r="BW224" s="2" t="n"/>
      <c r="BX224" s="2" t="n"/>
      <c r="BY224" s="2" t="n"/>
      <c r="BZ224" s="2" t="n"/>
      <c r="CA224" s="2" t="n"/>
    </row>
    <row r="225" hidden="1" customFormat="1" s="1">
      <c r="A225" s="2" t="n"/>
      <c r="B225" s="2" t="n"/>
      <c r="BC225" s="2" t="n"/>
      <c r="BD225" s="2" t="n"/>
      <c r="BE225" s="2" t="n"/>
      <c r="BF225" s="2" t="n"/>
      <c r="BG225" s="2" t="n"/>
      <c r="BH225" s="2" t="n"/>
      <c r="BI225" s="2" t="n"/>
      <c r="BJ225" s="2" t="n"/>
      <c r="BK225" s="2" t="n"/>
      <c r="BL225" s="2" t="n"/>
      <c r="BM225" s="2" t="n"/>
      <c r="BN225" s="2" t="n"/>
      <c r="BO225" s="2" t="n"/>
      <c r="BP225" s="2" t="n"/>
      <c r="BQ225" s="2" t="n"/>
      <c r="BR225" s="2" t="n"/>
      <c r="BS225" s="2" t="n"/>
      <c r="BT225" s="2" t="n"/>
      <c r="BU225" s="2" t="n"/>
      <c r="BV225" s="2" t="n"/>
      <c r="BW225" s="2" t="n"/>
      <c r="BX225" s="2" t="n"/>
      <c r="BY225" s="2" t="n"/>
      <c r="BZ225" s="2" t="n"/>
      <c r="CA225" s="2" t="n"/>
    </row>
    <row r="226" hidden="1" customFormat="1" s="1">
      <c r="A226" s="2" t="n"/>
      <c r="B226" s="2" t="n"/>
      <c r="BC226" s="2" t="n"/>
      <c r="BD226" s="2" t="n"/>
      <c r="BE226" s="2" t="n"/>
      <c r="BF226" s="2" t="n"/>
      <c r="BG226" s="2" t="n"/>
      <c r="BH226" s="2" t="n"/>
      <c r="BI226" s="2" t="n"/>
      <c r="BJ226" s="2" t="n"/>
      <c r="BK226" s="2" t="n"/>
      <c r="BL226" s="2" t="n"/>
      <c r="BM226" s="2" t="n"/>
      <c r="BN226" s="2" t="n"/>
      <c r="BO226" s="2" t="n"/>
      <c r="BP226" s="2" t="n"/>
      <c r="BQ226" s="2" t="n"/>
      <c r="BR226" s="2" t="n"/>
      <c r="BS226" s="2" t="n"/>
      <c r="BT226" s="2" t="n"/>
      <c r="BU226" s="2" t="n"/>
      <c r="BV226" s="2" t="n"/>
      <c r="BW226" s="2" t="n"/>
      <c r="BX226" s="2" t="n"/>
      <c r="BY226" s="2" t="n"/>
      <c r="BZ226" s="2" t="n"/>
      <c r="CA226" s="2" t="n"/>
    </row>
    <row r="227" hidden="1" ht="13.9" customFormat="1" customHeight="1" s="1" thickBot="1">
      <c r="A227" s="2" t="n"/>
      <c r="B227" s="2" t="n"/>
      <c r="BC227" s="2" t="n"/>
      <c r="BD227" s="2" t="n"/>
      <c r="BE227" s="2" t="n"/>
      <c r="BF227" s="2" t="n"/>
      <c r="BG227" s="2" t="n"/>
      <c r="BH227" s="2" t="n"/>
      <c r="BI227" s="2" t="n"/>
      <c r="BJ227" s="2" t="n"/>
      <c r="BK227" s="2" t="n"/>
      <c r="BL227" s="2" t="n"/>
      <c r="BM227" s="2" t="n"/>
      <c r="BN227" s="2" t="n"/>
      <c r="BO227" s="2" t="n"/>
      <c r="BP227" s="2" t="n"/>
      <c r="BQ227" s="2" t="n"/>
      <c r="BR227" s="2" t="n"/>
      <c r="BS227" s="2" t="n"/>
      <c r="BT227" s="2" t="n"/>
      <c r="BU227" s="2" t="n"/>
      <c r="BV227" s="2" t="n"/>
      <c r="BW227" s="2" t="n"/>
      <c r="BX227" s="2" t="n"/>
      <c r="BY227" s="2" t="n"/>
      <c r="BZ227" s="2" t="n"/>
      <c r="CA227" s="2" t="n"/>
    </row>
    <row r="228" hidden="1" customFormat="1" s="1">
      <c r="A228" s="2" t="n"/>
      <c r="B228" s="86" t="n"/>
      <c r="C228" s="86" t="n"/>
      <c r="D228" s="86" t="n"/>
      <c r="E228" s="86" t="n"/>
      <c r="F228" s="28" t="inlineStr">
        <is>
          <t>Complexidade</t>
        </is>
      </c>
      <c r="G228" s="88" t="inlineStr">
        <is>
          <t>Muito Alta</t>
        </is>
      </c>
      <c r="H228" s="89" t="n"/>
      <c r="I228" s="89" t="n"/>
      <c r="J228" s="89" t="n"/>
      <c r="K228" s="89" t="n"/>
      <c r="L228" s="89" t="n"/>
      <c r="M228" s="89" t="n"/>
      <c r="N228" s="90" t="n"/>
      <c r="P228" s="89" t="n"/>
      <c r="BC228" s="2" t="n"/>
      <c r="BD228" s="2" t="n"/>
      <c r="BE228" s="2" t="n"/>
      <c r="BF228" s="2" t="n"/>
      <c r="BG228" s="2" t="n"/>
      <c r="BH228" s="2" t="n"/>
      <c r="BI228" s="2" t="n"/>
      <c r="BJ228" s="2" t="n"/>
      <c r="BK228" s="2" t="n"/>
      <c r="BL228" s="2" t="n"/>
      <c r="BM228" s="2" t="n"/>
      <c r="BN228" s="2" t="n"/>
      <c r="BO228" s="2" t="n"/>
      <c r="BP228" s="2" t="n"/>
      <c r="BQ228" s="2" t="n"/>
      <c r="BR228" s="2" t="n"/>
      <c r="BS228" s="2" t="n"/>
      <c r="BT228" s="2" t="n"/>
      <c r="BU228" s="2" t="n"/>
      <c r="BV228" s="2" t="n"/>
      <c r="BW228" s="2" t="n"/>
      <c r="BX228" s="2" t="n"/>
      <c r="BY228" s="2" t="n"/>
      <c r="BZ228" s="2" t="n"/>
      <c r="CA228" s="2" t="n"/>
    </row>
    <row r="229" hidden="1" ht="13.9" customFormat="1" customHeight="1" s="1" thickBot="1">
      <c r="A229" s="2" t="n"/>
      <c r="B229" s="86" t="n"/>
      <c r="C229" s="86" t="n"/>
      <c r="D229" s="86" t="n"/>
      <c r="E229" s="86" t="n"/>
      <c r="F229" s="29" t="inlineStr">
        <is>
          <t>Elemento</t>
        </is>
      </c>
      <c r="G229" s="29" t="n"/>
      <c r="H229" s="29" t="inlineStr">
        <is>
          <t>EF</t>
        </is>
      </c>
      <c r="I229" s="29" t="inlineStr">
        <is>
          <t>ET</t>
        </is>
      </c>
      <c r="J229" s="29" t="inlineStr">
        <is>
          <t>DE</t>
        </is>
      </c>
      <c r="K229" s="29" t="inlineStr">
        <is>
          <t>TE</t>
        </is>
      </c>
      <c r="L229" s="29" t="inlineStr">
        <is>
          <t>HML</t>
        </is>
      </c>
      <c r="M229" s="29" t="n"/>
      <c r="N229" s="29" t="inlineStr">
        <is>
          <t>TO</t>
        </is>
      </c>
      <c r="P229" s="29" t="inlineStr">
        <is>
          <t>DE</t>
        </is>
      </c>
      <c r="BC229" s="2" t="n"/>
      <c r="BD229" s="2" t="n"/>
      <c r="BE229" s="2" t="n"/>
      <c r="BF229" s="2" t="n"/>
      <c r="BG229" s="2" t="n"/>
      <c r="BH229" s="2" t="n"/>
      <c r="BI229" s="2" t="n"/>
      <c r="BJ229" s="2" t="n"/>
      <c r="BK229" s="2" t="n"/>
      <c r="BL229" s="2" t="n"/>
      <c r="BM229" s="2" t="n"/>
      <c r="BN229" s="2" t="n"/>
      <c r="BO229" s="2" t="n"/>
      <c r="BP229" s="2" t="n"/>
      <c r="BQ229" s="2" t="n"/>
      <c r="BR229" s="2" t="n"/>
      <c r="BS229" s="2" t="n"/>
      <c r="BT229" s="2" t="n"/>
      <c r="BU229" s="2" t="n"/>
      <c r="BV229" s="2" t="n"/>
      <c r="BW229" s="2" t="n"/>
      <c r="BX229" s="2" t="n"/>
      <c r="BY229" s="2" t="n"/>
      <c r="BZ229" s="2" t="n"/>
      <c r="CA229" s="2" t="n"/>
    </row>
    <row r="230" hidden="1" customFormat="1" s="1">
      <c r="A230" s="2" t="n"/>
      <c r="B230" s="413" t="inlineStr">
        <is>
          <t>Novo</t>
        </is>
      </c>
      <c r="C230" s="413">
        <f>F230</f>
        <v/>
      </c>
      <c r="D230" s="413" t="inlineStr">
        <is>
          <t>Muito Alta</t>
        </is>
      </c>
      <c r="E230" s="30">
        <f>CONCATENATE(B230,C230,D230)</f>
        <v/>
      </c>
      <c r="F230" s="5" t="inlineStr">
        <is>
          <t>Apresentação</t>
        </is>
      </c>
      <c r="G230" s="31" t="n"/>
      <c r="H230" s="31">
        <f>($J230/($J$130*100))*(H$130*100)</f>
        <v/>
      </c>
      <c r="I230" s="31">
        <f>($J230/($J$130*100))*(I$130*100)</f>
        <v/>
      </c>
      <c r="J230" s="31">
        <f>P230/(1-$N$130)</f>
        <v/>
      </c>
      <c r="K230" s="31">
        <f>($J230/($J$130*100))*(K$130*100)</f>
        <v/>
      </c>
      <c r="L230" s="31">
        <f>($J230/($J$130*100))*(L$130*100)</f>
        <v/>
      </c>
      <c r="M230" s="31" t="n"/>
      <c r="N230" s="32">
        <f>SUM(H230:L230)</f>
        <v/>
      </c>
      <c r="P230" s="31" t="n">
        <v>47.99999999999999</v>
      </c>
      <c r="T230" s="209" t="n">
        <v>97.95918367346938</v>
      </c>
      <c r="W230" s="217">
        <f>IFERROR((N230-T230)/T230, 0)</f>
        <v/>
      </c>
      <c r="BC230" s="2" t="n"/>
      <c r="BD230" s="2" t="n"/>
      <c r="BE230" s="2" t="n"/>
      <c r="BF230" s="2" t="n"/>
      <c r="BG230" s="2" t="n"/>
      <c r="BH230" s="2" t="n"/>
      <c r="BI230" s="2" t="n"/>
      <c r="BJ230" s="2" t="n"/>
      <c r="BK230" s="2" t="n"/>
      <c r="BL230" s="2" t="n"/>
      <c r="BM230" s="2" t="n"/>
      <c r="BN230" s="2" t="n"/>
      <c r="BO230" s="2" t="n"/>
      <c r="BP230" s="2" t="n"/>
      <c r="BQ230" s="2" t="n"/>
      <c r="BR230" s="2" t="n"/>
      <c r="BS230" s="2" t="n"/>
      <c r="BT230" s="2" t="n"/>
      <c r="BU230" s="2" t="n"/>
      <c r="BV230" s="2" t="n"/>
      <c r="BW230" s="2" t="n"/>
      <c r="BX230" s="2" t="n"/>
      <c r="BY230" s="2" t="n"/>
      <c r="BZ230" s="2" t="n"/>
      <c r="CA230" s="2" t="n"/>
    </row>
    <row r="231" hidden="1" customFormat="1" s="1">
      <c r="A231" s="2" t="n"/>
      <c r="B231" s="413" t="inlineStr">
        <is>
          <t>Novo</t>
        </is>
      </c>
      <c r="C231" s="413">
        <f>F231</f>
        <v/>
      </c>
      <c r="D231" s="413" t="inlineStr">
        <is>
          <t>Muito Alta</t>
        </is>
      </c>
      <c r="E231" s="30">
        <f>CONCATENATE(B231,C231,D231)</f>
        <v/>
      </c>
      <c r="F231" s="5" t="inlineStr">
        <is>
          <t>Workflow</t>
        </is>
      </c>
      <c r="G231" s="31" t="n"/>
      <c r="H231" s="31">
        <f>($J231/($J$130*100))*(H$130*100)</f>
        <v/>
      </c>
      <c r="I231" s="31">
        <f>($J231/($J$130*100))*(I$130*100)</f>
        <v/>
      </c>
      <c r="J231" s="31">
        <f>P231/(1-$N$130)</f>
        <v/>
      </c>
      <c r="K231" s="31">
        <f>($J231/($J$130*100))*(K$130*100)</f>
        <v/>
      </c>
      <c r="L231" s="31">
        <f>($J231/($J$130*100))*(L$130*100)</f>
        <v/>
      </c>
      <c r="M231" s="31" t="n"/>
      <c r="N231" s="32">
        <f>SUM(H231:L231)</f>
        <v/>
      </c>
      <c r="P231" s="31" t="n">
        <v>99.99999999999999</v>
      </c>
      <c r="T231" s="210" t="n">
        <v>204.0816326530612</v>
      </c>
      <c r="W231" s="217">
        <f>IFERROR((N231-T231)/T231, 0)</f>
        <v/>
      </c>
      <c r="BC231" s="2" t="n"/>
      <c r="BD231" s="2" t="n"/>
      <c r="BE231" s="2" t="n"/>
      <c r="BF231" s="2" t="n"/>
      <c r="BG231" s="2" t="n"/>
      <c r="BH231" s="2" t="n"/>
      <c r="BI231" s="2" t="n"/>
      <c r="BJ231" s="2" t="n"/>
      <c r="BK231" s="2" t="n"/>
      <c r="BL231" s="2" t="n"/>
      <c r="BM231" s="2" t="n"/>
      <c r="BN231" s="2" t="n"/>
      <c r="BO231" s="2" t="n"/>
      <c r="BP231" s="2" t="n"/>
      <c r="BQ231" s="2" t="n"/>
      <c r="BR231" s="2" t="n"/>
      <c r="BS231" s="2" t="n"/>
      <c r="BT231" s="2" t="n"/>
      <c r="BU231" s="2" t="n"/>
      <c r="BV231" s="2" t="n"/>
      <c r="BW231" s="2" t="n"/>
      <c r="BX231" s="2" t="n"/>
      <c r="BY231" s="2" t="n"/>
      <c r="BZ231" s="2" t="n"/>
      <c r="CA231" s="2" t="n"/>
    </row>
    <row r="232" hidden="1" customFormat="1" s="1">
      <c r="A232" s="2" t="n"/>
      <c r="B232" s="413" t="inlineStr">
        <is>
          <t>Novo</t>
        </is>
      </c>
      <c r="C232" s="413">
        <f>F232</f>
        <v/>
      </c>
      <c r="D232" s="413" t="inlineStr">
        <is>
          <t>Muito Alta</t>
        </is>
      </c>
      <c r="E232" s="30">
        <f>CONCATENATE(B232,C232,D232)</f>
        <v/>
      </c>
      <c r="F232" s="5" t="inlineStr">
        <is>
          <t>Estrutura</t>
        </is>
      </c>
      <c r="G232" s="31" t="n"/>
      <c r="H232" s="31">
        <f>($J232/($J$130*100))*(H$130*100)</f>
        <v/>
      </c>
      <c r="I232" s="31">
        <f>($J232/($J$130*100))*(I$130*100)</f>
        <v/>
      </c>
      <c r="J232" s="31">
        <f>P232/(1-$N$130)</f>
        <v/>
      </c>
      <c r="K232" s="31">
        <f>($J232/($J$130*100))*(K$130*100)</f>
        <v/>
      </c>
      <c r="L232" s="31">
        <f>($J232/($J$130*100))*(L$130*100)</f>
        <v/>
      </c>
      <c r="M232" s="31" t="n"/>
      <c r="N232" s="32">
        <f>SUM(H232:L232)</f>
        <v/>
      </c>
      <c r="P232" s="31" t="n">
        <v>79.99999999999999</v>
      </c>
      <c r="T232" s="210" t="n">
        <v>163.2653061224489</v>
      </c>
      <c r="W232" s="217">
        <f>IFERROR((N232-T232)/T232, 0)</f>
        <v/>
      </c>
      <c r="BC232" s="2" t="n"/>
      <c r="BD232" s="2" t="n"/>
      <c r="BE232" s="2" t="n"/>
      <c r="BF232" s="2" t="n"/>
      <c r="BG232" s="2" t="n"/>
      <c r="BH232" s="2" t="n"/>
      <c r="BI232" s="2" t="n"/>
      <c r="BJ232" s="2" t="n"/>
      <c r="BK232" s="2" t="n"/>
      <c r="BL232" s="2" t="n"/>
      <c r="BM232" s="2" t="n"/>
      <c r="BN232" s="2" t="n"/>
      <c r="BO232" s="2" t="n"/>
      <c r="BP232" s="2" t="n"/>
      <c r="BQ232" s="2" t="n"/>
      <c r="BR232" s="2" t="n"/>
      <c r="BS232" s="2" t="n"/>
      <c r="BT232" s="2" t="n"/>
      <c r="BU232" s="2" t="n"/>
      <c r="BV232" s="2" t="n"/>
      <c r="BW232" s="2" t="n"/>
      <c r="BX232" s="2" t="n"/>
      <c r="BY232" s="2" t="n"/>
      <c r="BZ232" s="2" t="n"/>
      <c r="CA232" s="2" t="n"/>
    </row>
    <row r="233" hidden="1" customFormat="1" s="1">
      <c r="A233" s="2" t="n"/>
      <c r="B233" s="413" t="inlineStr">
        <is>
          <t>Novo</t>
        </is>
      </c>
      <c r="C233" s="413">
        <f>F233</f>
        <v/>
      </c>
      <c r="D233" s="413" t="inlineStr">
        <is>
          <t>Muito Alta</t>
        </is>
      </c>
      <c r="E233" s="30">
        <f>CONCATENATE(B233,C233,D233)</f>
        <v/>
      </c>
      <c r="F233" s="5" t="inlineStr">
        <is>
          <t>Treinamento / Manual</t>
        </is>
      </c>
      <c r="G233" s="31" t="n"/>
      <c r="H233" s="31" t="n">
        <v>0</v>
      </c>
      <c r="I233" s="31" t="n">
        <v>0</v>
      </c>
      <c r="J233" s="31">
        <f>P233/(1-$N$130)</f>
        <v/>
      </c>
      <c r="K233" s="31" t="n">
        <v>0</v>
      </c>
      <c r="L233" s="31" t="n">
        <v>0</v>
      </c>
      <c r="M233" s="31" t="n"/>
      <c r="N233" s="32">
        <f>SUM(H233:L233)</f>
        <v/>
      </c>
      <c r="P233" s="31" t="n">
        <v>32</v>
      </c>
      <c r="T233" s="210" t="n">
        <v>32</v>
      </c>
      <c r="W233" s="217">
        <f>IFERROR((N233-T233)/T233, 0)</f>
        <v/>
      </c>
      <c r="BC233" s="2" t="n"/>
      <c r="BD233" s="2" t="n"/>
      <c r="BE233" s="2" t="n"/>
      <c r="BF233" s="2" t="n"/>
      <c r="BG233" s="2" t="n"/>
      <c r="BH233" s="2" t="n"/>
      <c r="BI233" s="2" t="n"/>
      <c r="BJ233" s="2" t="n"/>
      <c r="BK233" s="2" t="n"/>
      <c r="BL233" s="2" t="n"/>
      <c r="BM233" s="2" t="n"/>
      <c r="BN233" s="2" t="n"/>
      <c r="BO233" s="2" t="n"/>
      <c r="BP233" s="2" t="n"/>
      <c r="BQ233" s="2" t="n"/>
      <c r="BR233" s="2" t="n"/>
      <c r="BS233" s="2" t="n"/>
      <c r="BT233" s="2" t="n"/>
      <c r="BU233" s="2" t="n"/>
      <c r="BV233" s="2" t="n"/>
      <c r="BW233" s="2" t="n"/>
      <c r="BX233" s="2" t="n"/>
      <c r="BY233" s="2" t="n"/>
      <c r="BZ233" s="2" t="n"/>
      <c r="CA233" s="2" t="n"/>
    </row>
    <row r="234" hidden="1" customFormat="1" s="1">
      <c r="A234" s="2" t="n"/>
      <c r="B234" s="413" t="inlineStr">
        <is>
          <t>Novo</t>
        </is>
      </c>
      <c r="C234" s="413">
        <f>F234</f>
        <v/>
      </c>
      <c r="D234" s="413" t="inlineStr">
        <is>
          <t>Muito Alta</t>
        </is>
      </c>
      <c r="E234" s="30">
        <f>CONCATENATE(B234,C234,D234)</f>
        <v/>
      </c>
      <c r="F234" s="5" t="inlineStr">
        <is>
          <t>Tarefa padrão</t>
        </is>
      </c>
      <c r="G234" s="31" t="n"/>
      <c r="H234" s="31">
        <f>($J234/($J$130*100))*(H$130*100)</f>
        <v/>
      </c>
      <c r="I234" s="31">
        <f>($J234/($J$130*100))*(I$130*100)</f>
        <v/>
      </c>
      <c r="J234" s="31">
        <f>P234/(1-$N$130)</f>
        <v/>
      </c>
      <c r="K234" s="31">
        <f>($J234/($J$130*100))*(K$130*100)</f>
        <v/>
      </c>
      <c r="L234" s="31">
        <f>($J234/($J$130*100))*(L$130*100)</f>
        <v/>
      </c>
      <c r="M234" s="31" t="n"/>
      <c r="N234" s="32">
        <f>SUM(H234:L234)</f>
        <v/>
      </c>
      <c r="P234" s="31" t="n">
        <v>0</v>
      </c>
      <c r="T234" s="210" t="n">
        <v>0</v>
      </c>
      <c r="W234" s="217">
        <f>IFERROR((N234-T234)/T234, 0)</f>
        <v/>
      </c>
      <c r="BC234" s="2" t="n"/>
      <c r="BD234" s="2" t="n"/>
      <c r="BE234" s="2" t="n"/>
      <c r="BF234" s="2" t="n"/>
      <c r="BG234" s="2" t="n"/>
      <c r="BH234" s="2" t="n"/>
      <c r="BI234" s="2" t="n"/>
      <c r="BJ234" s="2" t="n"/>
      <c r="BK234" s="2" t="n"/>
      <c r="BL234" s="2" t="n"/>
      <c r="BM234" s="2" t="n"/>
      <c r="BN234" s="2" t="n"/>
      <c r="BO234" s="2" t="n"/>
      <c r="BP234" s="2" t="n"/>
      <c r="BQ234" s="2" t="n"/>
      <c r="BR234" s="2" t="n"/>
      <c r="BS234" s="2" t="n"/>
      <c r="BT234" s="2" t="n"/>
      <c r="BU234" s="2" t="n"/>
      <c r="BV234" s="2" t="n"/>
      <c r="BW234" s="2" t="n"/>
      <c r="BX234" s="2" t="n"/>
      <c r="BY234" s="2" t="n"/>
      <c r="BZ234" s="2" t="n"/>
      <c r="CA234" s="2" t="n"/>
    </row>
    <row r="235" hidden="1" customFormat="1" s="1">
      <c r="A235" s="2" t="n"/>
      <c r="B235" s="30" t="inlineStr">
        <is>
          <t>Ajuste</t>
        </is>
      </c>
      <c r="C235" s="413">
        <f>F235</f>
        <v/>
      </c>
      <c r="D235" s="413" t="inlineStr">
        <is>
          <t>Muito Alta</t>
        </is>
      </c>
      <c r="E235" s="30">
        <f>CONCATENATE(B235,C235,D235)</f>
        <v/>
      </c>
      <c r="F235" s="9" t="inlineStr">
        <is>
          <t>Apresentação</t>
        </is>
      </c>
      <c r="G235" s="31" t="n"/>
      <c r="H235" s="31">
        <f>($J235/($J$130*100))*(H$130*100)</f>
        <v/>
      </c>
      <c r="I235" s="31">
        <f>($J235/($J$130*100))*(I$130*100)</f>
        <v/>
      </c>
      <c r="J235" s="31">
        <f>P235/(1-$N$130)</f>
        <v/>
      </c>
      <c r="K235" s="31">
        <f>($J235/($J$130*100))*(K$130*100)</f>
        <v/>
      </c>
      <c r="L235" s="31">
        <f>($J235/($J$130*100))*(L$130*100)</f>
        <v/>
      </c>
      <c r="M235" s="31" t="n"/>
      <c r="N235" s="32">
        <f>SUM(H235:L235)</f>
        <v/>
      </c>
      <c r="P235" s="31" t="n">
        <v>24</v>
      </c>
      <c r="T235" s="210" t="n">
        <v>48.97959183673469</v>
      </c>
      <c r="W235" s="217">
        <f>IFERROR((N235-T235)/T235, 0)</f>
        <v/>
      </c>
      <c r="BC235" s="2" t="n"/>
      <c r="BD235" s="2" t="n"/>
      <c r="BE235" s="2" t="n"/>
      <c r="BF235" s="2" t="n"/>
      <c r="BG235" s="2" t="n"/>
      <c r="BH235" s="2" t="n"/>
      <c r="BI235" s="2" t="n"/>
      <c r="BJ235" s="2" t="n"/>
      <c r="BK235" s="2" t="n"/>
      <c r="BL235" s="2" t="n"/>
      <c r="BM235" s="2" t="n"/>
      <c r="BN235" s="2" t="n"/>
      <c r="BO235" s="2" t="n"/>
      <c r="BP235" s="2" t="n"/>
      <c r="BQ235" s="2" t="n"/>
      <c r="BR235" s="2" t="n"/>
      <c r="BS235" s="2" t="n"/>
      <c r="BT235" s="2" t="n"/>
      <c r="BU235" s="2" t="n"/>
      <c r="BV235" s="2" t="n"/>
      <c r="BW235" s="2" t="n"/>
      <c r="BX235" s="2" t="n"/>
      <c r="BY235" s="2" t="n"/>
      <c r="BZ235" s="2" t="n"/>
      <c r="CA235" s="2" t="n"/>
    </row>
    <row r="236" hidden="1" customFormat="1" s="1">
      <c r="A236" s="2" t="n"/>
      <c r="B236" s="30" t="inlineStr">
        <is>
          <t>Ajuste</t>
        </is>
      </c>
      <c r="C236" s="413">
        <f>F236</f>
        <v/>
      </c>
      <c r="D236" s="413" t="inlineStr">
        <is>
          <t>Muito Alta</t>
        </is>
      </c>
      <c r="E236" s="30">
        <f>CONCATENATE(B236,C236,D236)</f>
        <v/>
      </c>
      <c r="F236" s="9" t="inlineStr">
        <is>
          <t>Workflow</t>
        </is>
      </c>
      <c r="G236" s="31" t="n"/>
      <c r="H236" s="31">
        <f>($J236/($J$130*100))*(H$130*100)</f>
        <v/>
      </c>
      <c r="I236" s="31">
        <f>($J236/($J$130*100))*(I$130*100)</f>
        <v/>
      </c>
      <c r="J236" s="31">
        <f>P236/(1-$N$130)</f>
        <v/>
      </c>
      <c r="K236" s="31">
        <f>($J236/($J$130*100))*(K$130*100)</f>
        <v/>
      </c>
      <c r="L236" s="31">
        <f>($J236/($J$130*100))*(L$130*100)</f>
        <v/>
      </c>
      <c r="M236" s="31" t="n"/>
      <c r="N236" s="32">
        <f>SUM(H236:L236)</f>
        <v/>
      </c>
      <c r="P236" s="31" t="n">
        <v>49.99999999999999</v>
      </c>
      <c r="T236" s="210" t="n">
        <v>102.0408163265306</v>
      </c>
      <c r="W236" s="217">
        <f>IFERROR((N236-T236)/T236, 0)</f>
        <v/>
      </c>
      <c r="BC236" s="2" t="n"/>
      <c r="BD236" s="2" t="n"/>
      <c r="BE236" s="2" t="n"/>
      <c r="BF236" s="2" t="n"/>
      <c r="BG236" s="2" t="n"/>
      <c r="BH236" s="2" t="n"/>
      <c r="BI236" s="2" t="n"/>
      <c r="BJ236" s="2" t="n"/>
      <c r="BK236" s="2" t="n"/>
      <c r="BL236" s="2" t="n"/>
      <c r="BM236" s="2" t="n"/>
      <c r="BN236" s="2" t="n"/>
      <c r="BO236" s="2" t="n"/>
      <c r="BP236" s="2" t="n"/>
      <c r="BQ236" s="2" t="n"/>
      <c r="BR236" s="2" t="n"/>
      <c r="BS236" s="2" t="n"/>
      <c r="BT236" s="2" t="n"/>
      <c r="BU236" s="2" t="n"/>
      <c r="BV236" s="2" t="n"/>
      <c r="BW236" s="2" t="n"/>
      <c r="BX236" s="2" t="n"/>
      <c r="BY236" s="2" t="n"/>
      <c r="BZ236" s="2" t="n"/>
      <c r="CA236" s="2" t="n"/>
    </row>
    <row r="237" hidden="1" customFormat="1" s="1">
      <c r="A237" s="2" t="n"/>
      <c r="B237" s="30" t="inlineStr">
        <is>
          <t>Ajuste</t>
        </is>
      </c>
      <c r="C237" s="413">
        <f>F237</f>
        <v/>
      </c>
      <c r="D237" s="413" t="inlineStr">
        <is>
          <t>Muito Alta</t>
        </is>
      </c>
      <c r="E237" s="30">
        <f>CONCATENATE(B237,C237,D237)</f>
        <v/>
      </c>
      <c r="F237" s="9" t="inlineStr">
        <is>
          <t>Estrutura</t>
        </is>
      </c>
      <c r="G237" s="31" t="n"/>
      <c r="H237" s="31">
        <f>($J237/($J$130*100))*(H$130*100)</f>
        <v/>
      </c>
      <c r="I237" s="31">
        <f>($J237/($J$130*100))*(I$130*100)</f>
        <v/>
      </c>
      <c r="J237" s="31">
        <f>P237/(1-$N$130)</f>
        <v/>
      </c>
      <c r="K237" s="31">
        <f>($J237/($J$130*100))*(K$130*100)</f>
        <v/>
      </c>
      <c r="L237" s="31">
        <f>($J237/($J$130*100))*(L$130*100)</f>
        <v/>
      </c>
      <c r="M237" s="31" t="n"/>
      <c r="N237" s="32">
        <f>SUM(H237:L237)</f>
        <v/>
      </c>
      <c r="P237" s="31" t="n">
        <v>39.99999999999999</v>
      </c>
      <c r="T237" s="210" t="n">
        <v>81.63265306122447</v>
      </c>
      <c r="W237" s="217">
        <f>IFERROR((N237-T237)/T237, 0)</f>
        <v/>
      </c>
      <c r="BC237" s="2" t="n"/>
      <c r="BD237" s="2" t="n"/>
      <c r="BE237" s="2" t="n"/>
      <c r="BF237" s="2" t="n"/>
      <c r="BG237" s="2" t="n"/>
      <c r="BH237" s="2" t="n"/>
      <c r="BI237" s="2" t="n"/>
      <c r="BJ237" s="2" t="n"/>
      <c r="BK237" s="2" t="n"/>
      <c r="BL237" s="2" t="n"/>
      <c r="BM237" s="2" t="n"/>
      <c r="BN237" s="2" t="n"/>
      <c r="BO237" s="2" t="n"/>
      <c r="BP237" s="2" t="n"/>
      <c r="BQ237" s="2" t="n"/>
      <c r="BR237" s="2" t="n"/>
      <c r="BS237" s="2" t="n"/>
      <c r="BT237" s="2" t="n"/>
      <c r="BU237" s="2" t="n"/>
      <c r="BV237" s="2" t="n"/>
      <c r="BW237" s="2" t="n"/>
      <c r="BX237" s="2" t="n"/>
      <c r="BY237" s="2" t="n"/>
      <c r="BZ237" s="2" t="n"/>
      <c r="CA237" s="2" t="n"/>
    </row>
    <row r="238" hidden="1" customFormat="1" s="1">
      <c r="A238" s="2" t="n"/>
      <c r="B238" s="30" t="inlineStr">
        <is>
          <t>Ajuste</t>
        </is>
      </c>
      <c r="C238" s="413">
        <f>F238</f>
        <v/>
      </c>
      <c r="D238" s="413" t="inlineStr">
        <is>
          <t>Muito Alta</t>
        </is>
      </c>
      <c r="E238" s="30">
        <f>CONCATENATE(B238,C238,D238)</f>
        <v/>
      </c>
      <c r="F238" s="9" t="n"/>
      <c r="G238" s="31" t="n"/>
      <c r="H238" s="31">
        <f>($J238/($J$130*100))*(H$130*100)</f>
        <v/>
      </c>
      <c r="I238" s="31">
        <f>($J238/($J$130*100))*(I$130*100)</f>
        <v/>
      </c>
      <c r="J238" s="31">
        <f>P238/(1-$N$130)</f>
        <v/>
      </c>
      <c r="K238" s="31">
        <f>($J238/($J$130*100))*(K$130*100)</f>
        <v/>
      </c>
      <c r="L238" s="31">
        <f>($J238/($J$130*100))*(L$130*100)</f>
        <v/>
      </c>
      <c r="M238" s="31" t="n"/>
      <c r="N238" s="32">
        <f>SUM(H238:L238)</f>
        <v/>
      </c>
      <c r="P238" s="31" t="n"/>
      <c r="BC238" s="2" t="n"/>
      <c r="BD238" s="2" t="n"/>
      <c r="BE238" s="2" t="n"/>
      <c r="BF238" s="2" t="n"/>
      <c r="BG238" s="2" t="n"/>
      <c r="BH238" s="2" t="n"/>
      <c r="BI238" s="2" t="n"/>
      <c r="BJ238" s="2" t="n"/>
      <c r="BK238" s="2" t="n"/>
      <c r="BL238" s="2" t="n"/>
      <c r="BM238" s="2" t="n"/>
      <c r="BN238" s="2" t="n"/>
      <c r="BO238" s="2" t="n"/>
      <c r="BP238" s="2" t="n"/>
      <c r="BQ238" s="2" t="n"/>
      <c r="BR238" s="2" t="n"/>
      <c r="BS238" s="2" t="n"/>
      <c r="BT238" s="2" t="n"/>
      <c r="BU238" s="2" t="n"/>
      <c r="BV238" s="2" t="n"/>
      <c r="BW238" s="2" t="n"/>
      <c r="BX238" s="2" t="n"/>
      <c r="BY238" s="2" t="n"/>
      <c r="BZ238" s="2" t="n"/>
      <c r="CA238" s="2" t="n"/>
    </row>
    <row r="239" hidden="1" customFormat="1" s="1">
      <c r="A239" s="2" t="n"/>
      <c r="B239" s="30" t="inlineStr">
        <is>
          <t>Ajuste</t>
        </is>
      </c>
      <c r="C239" s="413">
        <f>F239</f>
        <v/>
      </c>
      <c r="D239" s="413" t="inlineStr">
        <is>
          <t>Muito Alta</t>
        </is>
      </c>
      <c r="E239" s="30">
        <f>CONCATENATE(B239,C239,D239)</f>
        <v/>
      </c>
      <c r="F239" s="9" t="n"/>
      <c r="G239" s="31" t="n"/>
      <c r="H239" s="31">
        <f>($J239/($J$130*100))*(H$130*100)</f>
        <v/>
      </c>
      <c r="I239" s="31">
        <f>($J239/($J$130*100))*(I$130*100)</f>
        <v/>
      </c>
      <c r="J239" s="31">
        <f>P239/(1-$N$130)</f>
        <v/>
      </c>
      <c r="K239" s="31">
        <f>($J239/($J$130*100))*(K$130*100)</f>
        <v/>
      </c>
      <c r="L239" s="31">
        <f>($J239/($J$130*100))*(L$130*100)</f>
        <v/>
      </c>
      <c r="M239" s="31" t="n"/>
      <c r="N239" s="32">
        <f>SUM(H239:L239)</f>
        <v/>
      </c>
      <c r="P239" s="31" t="n"/>
      <c r="BC239" s="2" t="n"/>
      <c r="BD239" s="2" t="n"/>
      <c r="BE239" s="2" t="n"/>
      <c r="BF239" s="2" t="n"/>
      <c r="BG239" s="2" t="n"/>
      <c r="BH239" s="2" t="n"/>
      <c r="BI239" s="2" t="n"/>
      <c r="BJ239" s="2" t="n"/>
      <c r="BK239" s="2" t="n"/>
      <c r="BL239" s="2" t="n"/>
      <c r="BM239" s="2" t="n"/>
      <c r="BN239" s="2" t="n"/>
      <c r="BO239" s="2" t="n"/>
      <c r="BP239" s="2" t="n"/>
      <c r="BQ239" s="2" t="n"/>
      <c r="BR239" s="2" t="n"/>
      <c r="BS239" s="2" t="n"/>
      <c r="BT239" s="2" t="n"/>
      <c r="BU239" s="2" t="n"/>
      <c r="BV239" s="2" t="n"/>
      <c r="BW239" s="2" t="n"/>
      <c r="BX239" s="2" t="n"/>
      <c r="BY239" s="2" t="n"/>
      <c r="BZ239" s="2" t="n"/>
      <c r="CA239" s="2" t="n"/>
    </row>
    <row r="240" hidden="1" customFormat="1" s="1">
      <c r="A240" s="2" t="n"/>
      <c r="B240" s="30" t="inlineStr">
        <is>
          <t>Ajuste</t>
        </is>
      </c>
      <c r="C240" s="413">
        <f>F240</f>
        <v/>
      </c>
      <c r="D240" s="413" t="inlineStr">
        <is>
          <t>Muito Alta</t>
        </is>
      </c>
      <c r="E240" s="30">
        <f>CONCATENATE(B240,C240,D240)</f>
        <v/>
      </c>
      <c r="F240" s="9" t="n"/>
      <c r="G240" s="31" t="n"/>
      <c r="H240" s="31">
        <f>($J240/($J$130*100))*(H$130*100)</f>
        <v/>
      </c>
      <c r="I240" s="31">
        <f>($J240/($J$130*100))*(I$130*100)</f>
        <v/>
      </c>
      <c r="J240" s="31">
        <f>P240/(1-$N$130)</f>
        <v/>
      </c>
      <c r="K240" s="31">
        <f>($J240/($J$130*100))*(K$130*100)</f>
        <v/>
      </c>
      <c r="L240" s="31">
        <f>($J240/($J$130*100))*(L$130*100)</f>
        <v/>
      </c>
      <c r="M240" s="31" t="n"/>
      <c r="N240" s="32">
        <f>SUM(H240:L240)</f>
        <v/>
      </c>
      <c r="P240" s="31" t="n"/>
      <c r="BC240" s="2" t="n"/>
      <c r="BD240" s="2" t="n"/>
      <c r="BE240" s="2" t="n"/>
      <c r="BF240" s="2" t="n"/>
      <c r="BG240" s="2" t="n"/>
      <c r="BH240" s="2" t="n"/>
      <c r="BI240" s="2" t="n"/>
      <c r="BJ240" s="2" t="n"/>
      <c r="BK240" s="2" t="n"/>
      <c r="BL240" s="2" t="n"/>
      <c r="BM240" s="2" t="n"/>
      <c r="BN240" s="2" t="n"/>
      <c r="BO240" s="2" t="n"/>
      <c r="BP240" s="2" t="n"/>
      <c r="BQ240" s="2" t="n"/>
      <c r="BR240" s="2" t="n"/>
      <c r="BS240" s="2" t="n"/>
      <c r="BT240" s="2" t="n"/>
      <c r="BU240" s="2" t="n"/>
      <c r="BV240" s="2" t="n"/>
      <c r="BW240" s="2" t="n"/>
      <c r="BX240" s="2" t="n"/>
      <c r="BY240" s="2" t="n"/>
      <c r="BZ240" s="2" t="n"/>
      <c r="CA240" s="2" t="n"/>
    </row>
    <row r="241" hidden="1" ht="13.9" customFormat="1" customHeight="1" s="1" thickBot="1">
      <c r="A241" s="2" t="n"/>
      <c r="B241" s="30" t="inlineStr">
        <is>
          <t>Ajuste</t>
        </is>
      </c>
      <c r="C241" s="413">
        <f>F241</f>
        <v/>
      </c>
      <c r="D241" s="413" t="inlineStr">
        <is>
          <t>Muito Alta</t>
        </is>
      </c>
      <c r="E241" s="30">
        <f>CONCATENATE(B241,C241,D241)</f>
        <v/>
      </c>
      <c r="F241" s="10" t="n"/>
      <c r="G241" s="31" t="n"/>
      <c r="H241" s="31">
        <f>($J241/($J$130*100))*(H$130*100)</f>
        <v/>
      </c>
      <c r="I241" s="31">
        <f>($J241/($J$130*100))*(I$130*100)</f>
        <v/>
      </c>
      <c r="J241" s="31">
        <f>P241/(1-$N$130)</f>
        <v/>
      </c>
      <c r="K241" s="31">
        <f>($J241/($J$130*100))*(K$130*100)</f>
        <v/>
      </c>
      <c r="L241" s="31">
        <f>($J241/($J$130*100))*(L$130*100)</f>
        <v/>
      </c>
      <c r="M241" s="31" t="n"/>
      <c r="N241" s="32">
        <f>SUM(H241:L241)</f>
        <v/>
      </c>
      <c r="P241" s="31" t="n"/>
      <c r="BC241" s="2" t="n"/>
      <c r="BD241" s="2" t="n"/>
      <c r="BE241" s="2" t="n"/>
      <c r="BF241" s="2" t="n"/>
      <c r="BG241" s="2" t="n"/>
      <c r="BH241" s="2" t="n"/>
      <c r="BI241" s="2" t="n"/>
      <c r="BJ241" s="2" t="n"/>
      <c r="BK241" s="2" t="n"/>
      <c r="BL241" s="2" t="n"/>
      <c r="BM241" s="2" t="n"/>
      <c r="BN241" s="2" t="n"/>
      <c r="BO241" s="2" t="n"/>
      <c r="BP241" s="2" t="n"/>
      <c r="BQ241" s="2" t="n"/>
      <c r="BR241" s="2" t="n"/>
      <c r="BS241" s="2" t="n"/>
      <c r="BT241" s="2" t="n"/>
      <c r="BU241" s="2" t="n"/>
      <c r="BV241" s="2" t="n"/>
      <c r="BW241" s="2" t="n"/>
      <c r="BX241" s="2" t="n"/>
      <c r="BY241" s="2" t="n"/>
      <c r="BZ241" s="2" t="n"/>
      <c r="CA241" s="2" t="n"/>
    </row>
    <row r="242" hidden="1" customFormat="1" s="1">
      <c r="A242" s="2" t="n"/>
      <c r="B242" s="30" t="inlineStr">
        <is>
          <t>Ajuste</t>
        </is>
      </c>
      <c r="C242" s="413">
        <f>F242</f>
        <v/>
      </c>
      <c r="D242" s="413" t="inlineStr">
        <is>
          <t>Muito Alta</t>
        </is>
      </c>
      <c r="E242" s="30">
        <f>CONCATENATE(B242,C242,D242)</f>
        <v/>
      </c>
      <c r="F242" s="9" t="n"/>
      <c r="G242" s="33" t="n"/>
      <c r="H242" s="31">
        <f>($J242/($J$130*100))*(H$130*100)</f>
        <v/>
      </c>
      <c r="I242" s="31">
        <f>($J242/($J$130*100))*(I$130*100)</f>
        <v/>
      </c>
      <c r="J242" s="31">
        <f>P242/(1-$N$130)</f>
        <v/>
      </c>
      <c r="K242" s="31">
        <f>($J242/($J$130*100))*(K$130*100)</f>
        <v/>
      </c>
      <c r="L242" s="31">
        <f>($J242/($J$130*100))*(L$130*100)</f>
        <v/>
      </c>
      <c r="M242" s="31" t="n"/>
      <c r="N242" s="32">
        <f>SUM(H242:L242)</f>
        <v/>
      </c>
      <c r="P242" s="31" t="n"/>
      <c r="BC242" s="2" t="n"/>
      <c r="BD242" s="2" t="n"/>
      <c r="BE242" s="2" t="n"/>
      <c r="BF242" s="2" t="n"/>
      <c r="BG242" s="2" t="n"/>
      <c r="BH242" s="2" t="n"/>
      <c r="BI242" s="2" t="n"/>
      <c r="BJ242" s="2" t="n"/>
      <c r="BK242" s="2" t="n"/>
      <c r="BL242" s="2" t="n"/>
      <c r="BM242" s="2" t="n"/>
      <c r="BN242" s="2" t="n"/>
      <c r="BO242" s="2" t="n"/>
      <c r="BP242" s="2" t="n"/>
      <c r="BQ242" s="2" t="n"/>
      <c r="BR242" s="2" t="n"/>
      <c r="BS242" s="2" t="n"/>
      <c r="BT242" s="2" t="n"/>
      <c r="BU242" s="2" t="n"/>
      <c r="BV242" s="2" t="n"/>
      <c r="BW242" s="2" t="n"/>
      <c r="BX242" s="2" t="n"/>
      <c r="BY242" s="2" t="n"/>
      <c r="BZ242" s="2" t="n"/>
      <c r="CA242" s="2" t="n"/>
    </row>
    <row r="243" hidden="1" customFormat="1" s="1">
      <c r="A243" s="2" t="n"/>
      <c r="B243" s="30" t="inlineStr">
        <is>
          <t>Ajuste</t>
        </is>
      </c>
      <c r="C243" s="413">
        <f>F243</f>
        <v/>
      </c>
      <c r="D243" s="413" t="inlineStr">
        <is>
          <t>Muito Alta</t>
        </is>
      </c>
      <c r="E243" s="30">
        <f>CONCATENATE(B243,C243,D243)</f>
        <v/>
      </c>
      <c r="F243" s="9" t="n"/>
      <c r="G243" s="33" t="n"/>
      <c r="H243" s="31">
        <f>($J243/($J$130*100))*(H$130*100)</f>
        <v/>
      </c>
      <c r="I243" s="31">
        <f>($J243/($J$130*100))*(I$130*100)</f>
        <v/>
      </c>
      <c r="J243" s="31">
        <f>P243/(1-$N$130)</f>
        <v/>
      </c>
      <c r="K243" s="31">
        <f>($J243/($J$130*100))*(K$130*100)</f>
        <v/>
      </c>
      <c r="L243" s="31">
        <f>($J243/($J$130*100))*(L$130*100)</f>
        <v/>
      </c>
      <c r="M243" s="31" t="n"/>
      <c r="N243" s="32">
        <f>SUM(H243:L243)</f>
        <v/>
      </c>
      <c r="P243" s="31" t="n"/>
      <c r="BC243" s="2" t="n"/>
      <c r="BD243" s="2" t="n"/>
      <c r="BE243" s="2" t="n"/>
      <c r="BF243" s="2" t="n"/>
      <c r="BG243" s="2" t="n"/>
      <c r="BH243" s="2" t="n"/>
      <c r="BI243" s="2" t="n"/>
      <c r="BJ243" s="2" t="n"/>
      <c r="BK243" s="2" t="n"/>
      <c r="BL243" s="2" t="n"/>
      <c r="BM243" s="2" t="n"/>
      <c r="BN243" s="2" t="n"/>
      <c r="BO243" s="2" t="n"/>
      <c r="BP243" s="2" t="n"/>
      <c r="BQ243" s="2" t="n"/>
      <c r="BR243" s="2" t="n"/>
      <c r="BS243" s="2" t="n"/>
      <c r="BT243" s="2" t="n"/>
      <c r="BU243" s="2" t="n"/>
      <c r="BV243" s="2" t="n"/>
      <c r="BW243" s="2" t="n"/>
      <c r="BX243" s="2" t="n"/>
      <c r="BY243" s="2" t="n"/>
      <c r="BZ243" s="2" t="n"/>
      <c r="CA243" s="2" t="n"/>
    </row>
    <row r="244" hidden="1" customFormat="1" s="1">
      <c r="A244" s="2" t="n"/>
      <c r="B244" s="30" t="inlineStr">
        <is>
          <t>Ajuste</t>
        </is>
      </c>
      <c r="C244" s="413">
        <f>F244</f>
        <v/>
      </c>
      <c r="D244" s="413" t="inlineStr">
        <is>
          <t>Muito Alta</t>
        </is>
      </c>
      <c r="E244" s="30">
        <f>CONCATENATE(B244,C244,D244)</f>
        <v/>
      </c>
      <c r="F244" s="9" t="n"/>
      <c r="G244" s="33" t="n"/>
      <c r="H244" s="31">
        <f>($J244/($J$130*100))*(H$130*100)</f>
        <v/>
      </c>
      <c r="I244" s="31">
        <f>($J244/($J$130*100))*(I$130*100)</f>
        <v/>
      </c>
      <c r="J244" s="31">
        <f>P244/(1-$N$130)</f>
        <v/>
      </c>
      <c r="K244" s="31">
        <f>($J244/($J$130*100))*(K$130*100)</f>
        <v/>
      </c>
      <c r="L244" s="31">
        <f>($J244/($J$130*100))*(L$130*100)</f>
        <v/>
      </c>
      <c r="M244" s="31" t="n"/>
      <c r="N244" s="32">
        <f>SUM(H244:L244)</f>
        <v/>
      </c>
      <c r="P244" s="31" t="n"/>
      <c r="BC244" s="2" t="n"/>
      <c r="BD244" s="2" t="n"/>
      <c r="BE244" s="2" t="n"/>
      <c r="BF244" s="2" t="n"/>
      <c r="BG244" s="2" t="n"/>
      <c r="BH244" s="2" t="n"/>
      <c r="BI244" s="2" t="n"/>
      <c r="BJ244" s="2" t="n"/>
      <c r="BK244" s="2" t="n"/>
      <c r="BL244" s="2" t="n"/>
      <c r="BM244" s="2" t="n"/>
      <c r="BN244" s="2" t="n"/>
      <c r="BO244" s="2" t="n"/>
      <c r="BP244" s="2" t="n"/>
      <c r="BQ244" s="2" t="n"/>
      <c r="BR244" s="2" t="n"/>
      <c r="BS244" s="2" t="n"/>
      <c r="BT244" s="2" t="n"/>
      <c r="BU244" s="2" t="n"/>
      <c r="BV244" s="2" t="n"/>
      <c r="BW244" s="2" t="n"/>
      <c r="BX244" s="2" t="n"/>
      <c r="BY244" s="2" t="n"/>
      <c r="BZ244" s="2" t="n"/>
      <c r="CA244" s="2" t="n"/>
    </row>
    <row r="245" hidden="1" customFormat="1" s="1">
      <c r="A245" s="2" t="n"/>
      <c r="B245" s="30" t="inlineStr">
        <is>
          <t>Ajuste</t>
        </is>
      </c>
      <c r="C245" s="413">
        <f>F245</f>
        <v/>
      </c>
      <c r="D245" s="413" t="inlineStr">
        <is>
          <t>Muito Alta</t>
        </is>
      </c>
      <c r="E245" s="30">
        <f>CONCATENATE(B245,C245,D245)</f>
        <v/>
      </c>
      <c r="F245" s="9" t="n"/>
      <c r="G245" s="33" t="n"/>
      <c r="H245" s="31">
        <f>($J245/($J$130*100))*(H$130*100)</f>
        <v/>
      </c>
      <c r="I245" s="31">
        <f>($J245/($J$130*100))*(I$130*100)</f>
        <v/>
      </c>
      <c r="J245" s="31">
        <f>P245/(1-$N$130)</f>
        <v/>
      </c>
      <c r="K245" s="31">
        <f>($J245/($J$130*100))*(K$130*100)</f>
        <v/>
      </c>
      <c r="L245" s="31">
        <f>($J245/($J$130*100))*(L$130*100)</f>
        <v/>
      </c>
      <c r="M245" s="31" t="n"/>
      <c r="N245" s="32">
        <f>SUM(H245:L245)</f>
        <v/>
      </c>
      <c r="P245" s="31" t="n"/>
      <c r="BC245" s="2" t="n"/>
      <c r="BD245" s="2" t="n"/>
      <c r="BE245" s="2" t="n"/>
      <c r="BF245" s="2" t="n"/>
      <c r="BG245" s="2" t="n"/>
      <c r="BH245" s="2" t="n"/>
      <c r="BI245" s="2" t="n"/>
      <c r="BJ245" s="2" t="n"/>
      <c r="BK245" s="2" t="n"/>
      <c r="BL245" s="2" t="n"/>
      <c r="BM245" s="2" t="n"/>
      <c r="BN245" s="2" t="n"/>
      <c r="BO245" s="2" t="n"/>
      <c r="BP245" s="2" t="n"/>
      <c r="BQ245" s="2" t="n"/>
      <c r="BR245" s="2" t="n"/>
      <c r="BS245" s="2" t="n"/>
      <c r="BT245" s="2" t="n"/>
      <c r="BU245" s="2" t="n"/>
      <c r="BV245" s="2" t="n"/>
      <c r="BW245" s="2" t="n"/>
      <c r="BX245" s="2" t="n"/>
      <c r="BY245" s="2" t="n"/>
      <c r="BZ245" s="2" t="n"/>
      <c r="CA245" s="2" t="n"/>
    </row>
    <row r="246" hidden="1" customFormat="1" s="1">
      <c r="A246" s="2" t="n"/>
      <c r="B246" s="30" t="inlineStr">
        <is>
          <t>Ajuste</t>
        </is>
      </c>
      <c r="C246" s="413">
        <f>F246</f>
        <v/>
      </c>
      <c r="D246" s="413" t="inlineStr">
        <is>
          <t>Muito Alta</t>
        </is>
      </c>
      <c r="E246" s="30">
        <f>CONCATENATE(B246,C246,D246)</f>
        <v/>
      </c>
      <c r="F246" s="9" t="n"/>
      <c r="G246" s="33" t="n"/>
      <c r="H246" s="31">
        <f>($J246/($J$130*100))*(H$130*100)</f>
        <v/>
      </c>
      <c r="I246" s="31">
        <f>($J246/($J$130*100))*(I$130*100)</f>
        <v/>
      </c>
      <c r="J246" s="31">
        <f>P246/(1-$N$130)</f>
        <v/>
      </c>
      <c r="K246" s="31">
        <f>($J246/($J$130*100))*(K$130*100)</f>
        <v/>
      </c>
      <c r="L246" s="31">
        <f>($J246/($J$130*100))*(L$130*100)</f>
        <v/>
      </c>
      <c r="M246" s="31" t="n"/>
      <c r="N246" s="32">
        <f>SUM(H246:L246)</f>
        <v/>
      </c>
      <c r="P246" s="31" t="n"/>
      <c r="BC246" s="2" t="n"/>
      <c r="BD246" s="2" t="n"/>
      <c r="BE246" s="2" t="n"/>
      <c r="BF246" s="2" t="n"/>
      <c r="BG246" s="2" t="n"/>
      <c r="BH246" s="2" t="n"/>
      <c r="BI246" s="2" t="n"/>
      <c r="BJ246" s="2" t="n"/>
      <c r="BK246" s="2" t="n"/>
      <c r="BL246" s="2" t="n"/>
      <c r="BM246" s="2" t="n"/>
      <c r="BN246" s="2" t="n"/>
      <c r="BO246" s="2" t="n"/>
      <c r="BP246" s="2" t="n"/>
      <c r="BQ246" s="2" t="n"/>
      <c r="BR246" s="2" t="n"/>
      <c r="BS246" s="2" t="n"/>
      <c r="BT246" s="2" t="n"/>
      <c r="BU246" s="2" t="n"/>
      <c r="BV246" s="2" t="n"/>
      <c r="BW246" s="2" t="n"/>
      <c r="BX246" s="2" t="n"/>
      <c r="BY246" s="2" t="n"/>
      <c r="BZ246" s="2" t="n"/>
      <c r="CA246" s="2" t="n"/>
    </row>
    <row r="247" hidden="1" customFormat="1" s="1">
      <c r="A247" s="2" t="n"/>
      <c r="B247" s="30" t="inlineStr">
        <is>
          <t>Ajuste</t>
        </is>
      </c>
      <c r="C247" s="413">
        <f>F247</f>
        <v/>
      </c>
      <c r="D247" s="413" t="inlineStr">
        <is>
          <t>Muito Alta</t>
        </is>
      </c>
      <c r="E247" s="30">
        <f>CONCATENATE(B247,C247,D247)</f>
        <v/>
      </c>
      <c r="F247" s="9" t="n"/>
      <c r="G247" s="33" t="n"/>
      <c r="H247" s="31">
        <f>($J247/($J$130*100))*(H$130*100)</f>
        <v/>
      </c>
      <c r="I247" s="31">
        <f>($J247/($J$130*100))*(I$130*100)</f>
        <v/>
      </c>
      <c r="J247" s="31">
        <f>P247/(1-$N$130)</f>
        <v/>
      </c>
      <c r="K247" s="31">
        <f>($J247/($J$130*100))*(K$130*100)</f>
        <v/>
      </c>
      <c r="L247" s="31">
        <f>($J247/($J$130*100))*(L$130*100)</f>
        <v/>
      </c>
      <c r="M247" s="31" t="n"/>
      <c r="N247" s="32">
        <f>SUM(H247:L247)</f>
        <v/>
      </c>
      <c r="P247" s="31" t="n"/>
      <c r="BC247" s="2" t="n"/>
      <c r="BD247" s="2" t="n"/>
      <c r="BE247" s="2" t="n"/>
      <c r="BF247" s="2" t="n"/>
      <c r="BG247" s="2" t="n"/>
      <c r="BH247" s="2" t="n"/>
      <c r="BI247" s="2" t="n"/>
      <c r="BJ247" s="2" t="n"/>
      <c r="BK247" s="2" t="n"/>
      <c r="BL247" s="2" t="n"/>
      <c r="BM247" s="2" t="n"/>
      <c r="BN247" s="2" t="n"/>
      <c r="BO247" s="2" t="n"/>
      <c r="BP247" s="2" t="n"/>
      <c r="BQ247" s="2" t="n"/>
      <c r="BR247" s="2" t="n"/>
      <c r="BS247" s="2" t="n"/>
      <c r="BT247" s="2" t="n"/>
      <c r="BU247" s="2" t="n"/>
      <c r="BV247" s="2" t="n"/>
      <c r="BW247" s="2" t="n"/>
      <c r="BX247" s="2" t="n"/>
      <c r="BY247" s="2" t="n"/>
      <c r="BZ247" s="2" t="n"/>
      <c r="CA247" s="2" t="n"/>
    </row>
    <row r="248" hidden="1" customFormat="1" s="1">
      <c r="A248" s="2" t="n"/>
      <c r="B248" s="30" t="inlineStr">
        <is>
          <t>Ajuste</t>
        </is>
      </c>
      <c r="C248" s="413">
        <f>F248</f>
        <v/>
      </c>
      <c r="D248" s="413" t="inlineStr">
        <is>
          <t>Muito Alta</t>
        </is>
      </c>
      <c r="E248" s="30">
        <f>CONCATENATE(B248,C248,D248)</f>
        <v/>
      </c>
      <c r="F248" s="9" t="n"/>
      <c r="G248" s="33" t="n"/>
      <c r="H248" s="31">
        <f>($J248/($J$130*100))*(H$130*100)</f>
        <v/>
      </c>
      <c r="I248" s="31">
        <f>($J248/($J$130*100))*(I$130*100)</f>
        <v/>
      </c>
      <c r="J248" s="31">
        <f>P248/(1-$N$130)</f>
        <v/>
      </c>
      <c r="K248" s="31">
        <f>($J248/($J$130*100))*(K$130*100)</f>
        <v/>
      </c>
      <c r="L248" s="31">
        <f>($J248/($J$130*100))*(L$130*100)</f>
        <v/>
      </c>
      <c r="M248" s="31" t="n"/>
      <c r="N248" s="32">
        <f>SUM(H248:L248)</f>
        <v/>
      </c>
      <c r="P248" s="31" t="n"/>
      <c r="BC248" s="2" t="n"/>
      <c r="BD248" s="2" t="n"/>
      <c r="BE248" s="2" t="n"/>
      <c r="BF248" s="2" t="n"/>
      <c r="BG248" s="2" t="n"/>
      <c r="BH248" s="2" t="n"/>
      <c r="BI248" s="2" t="n"/>
      <c r="BJ248" s="2" t="n"/>
      <c r="BK248" s="2" t="n"/>
      <c r="BL248" s="2" t="n"/>
      <c r="BM248" s="2" t="n"/>
      <c r="BN248" s="2" t="n"/>
      <c r="BO248" s="2" t="n"/>
      <c r="BP248" s="2" t="n"/>
      <c r="BQ248" s="2" t="n"/>
      <c r="BR248" s="2" t="n"/>
      <c r="BS248" s="2" t="n"/>
      <c r="BT248" s="2" t="n"/>
      <c r="BU248" s="2" t="n"/>
      <c r="BV248" s="2" t="n"/>
      <c r="BW248" s="2" t="n"/>
      <c r="BX248" s="2" t="n"/>
      <c r="BY248" s="2" t="n"/>
      <c r="BZ248" s="2" t="n"/>
      <c r="CA248" s="2" t="n"/>
    </row>
    <row r="249" hidden="1" customFormat="1" s="1">
      <c r="B249" s="2" t="n"/>
      <c r="BC249" s="2" t="n"/>
      <c r="BD249" s="2" t="n"/>
      <c r="BE249" s="2" t="n"/>
      <c r="BF249" s="2" t="n"/>
      <c r="BG249" s="2" t="n"/>
      <c r="BH249" s="2" t="n"/>
      <c r="BI249" s="2" t="n"/>
      <c r="BJ249" s="2" t="n"/>
      <c r="BK249" s="2" t="n"/>
      <c r="BL249" s="2" t="n"/>
      <c r="BM249" s="2" t="n"/>
      <c r="BN249" s="2" t="n"/>
      <c r="BO249" s="2" t="n"/>
      <c r="BP249" s="2" t="n"/>
      <c r="BQ249" s="2" t="n"/>
      <c r="BR249" s="2" t="n"/>
      <c r="BS249" s="2" t="n"/>
      <c r="BT249" s="2" t="n"/>
      <c r="BU249" s="2" t="n"/>
      <c r="BV249" s="2" t="n"/>
      <c r="BW249" s="2" t="n"/>
      <c r="BX249" s="2" t="n"/>
      <c r="BY249" s="2" t="n"/>
      <c r="BZ249" s="2" t="n"/>
      <c r="CA249" s="2" t="n"/>
    </row>
    <row r="250" hidden="1" customFormat="1" s="1">
      <c r="B250" s="2" t="n"/>
      <c r="BC250" s="2" t="n"/>
      <c r="BD250" s="2" t="n"/>
      <c r="BE250" s="2" t="n"/>
      <c r="BF250" s="2" t="n"/>
      <c r="BG250" s="2" t="n"/>
      <c r="BH250" s="2" t="n"/>
      <c r="BI250" s="2" t="n"/>
      <c r="BJ250" s="2" t="n"/>
      <c r="BK250" s="2" t="n"/>
      <c r="BL250" s="2" t="n"/>
      <c r="BM250" s="2" t="n"/>
      <c r="BN250" s="2" t="n"/>
      <c r="BO250" s="2" t="n"/>
      <c r="BP250" s="2" t="n"/>
      <c r="BQ250" s="2" t="n"/>
      <c r="BR250" s="2" t="n"/>
      <c r="BS250" s="2" t="n"/>
      <c r="BT250" s="2" t="n"/>
      <c r="BU250" s="2" t="n"/>
      <c r="BV250" s="2" t="n"/>
      <c r="BW250" s="2" t="n"/>
      <c r="BX250" s="2" t="n"/>
      <c r="BY250" s="2" t="n"/>
      <c r="BZ250" s="2" t="n"/>
      <c r="CA250" s="2" t="n"/>
    </row>
    <row r="251" hidden="1" customFormat="1" s="1">
      <c r="B251" s="2" t="n"/>
      <c r="BC251" s="2" t="n"/>
      <c r="BD251" s="2" t="n"/>
      <c r="BE251" s="2" t="n"/>
      <c r="BF251" s="2" t="n"/>
      <c r="BG251" s="2" t="n"/>
      <c r="BH251" s="2" t="n"/>
      <c r="BI251" s="2" t="n"/>
      <c r="BJ251" s="2" t="n"/>
      <c r="BK251" s="2" t="n"/>
      <c r="BL251" s="2" t="n"/>
      <c r="BM251" s="2" t="n"/>
      <c r="BN251" s="2" t="n"/>
      <c r="BO251" s="2" t="n"/>
      <c r="BP251" s="2" t="n"/>
      <c r="BQ251" s="2" t="n"/>
      <c r="BR251" s="2" t="n"/>
      <c r="BS251" s="2" t="n"/>
      <c r="BT251" s="2" t="n"/>
      <c r="BU251" s="2" t="n"/>
      <c r="BV251" s="2" t="n"/>
      <c r="BW251" s="2" t="n"/>
      <c r="BX251" s="2" t="n"/>
      <c r="BY251" s="2" t="n"/>
      <c r="BZ251" s="2" t="n"/>
      <c r="CA251" s="2" t="n"/>
    </row>
    <row r="252" customFormat="1" s="1">
      <c r="B252" s="2" t="n"/>
      <c r="BC252" s="2" t="n"/>
      <c r="BD252" s="2" t="n"/>
      <c r="BE252" s="2" t="n"/>
      <c r="BF252" s="2" t="n"/>
      <c r="BG252" s="2" t="n"/>
      <c r="BH252" s="2" t="n"/>
      <c r="BI252" s="2" t="n"/>
      <c r="BJ252" s="2" t="n"/>
      <c r="BK252" s="2" t="n"/>
      <c r="BL252" s="2" t="n"/>
      <c r="BM252" s="2" t="n"/>
      <c r="BN252" s="2" t="n"/>
      <c r="BO252" s="2" t="n"/>
      <c r="BP252" s="2" t="n"/>
      <c r="BQ252" s="2" t="n"/>
      <c r="BR252" s="2" t="n"/>
      <c r="BS252" s="2" t="n"/>
      <c r="BT252" s="2" t="n"/>
      <c r="BU252" s="2" t="n"/>
      <c r="BV252" s="2" t="n"/>
      <c r="BW252" s="2" t="n"/>
      <c r="BX252" s="2" t="n"/>
      <c r="BY252" s="2" t="n"/>
      <c r="BZ252" s="2" t="n"/>
      <c r="CA252" s="2" t="n"/>
    </row>
    <row r="253" customFormat="1" s="1">
      <c r="B253" s="2" t="n"/>
      <c r="BC253" s="2" t="n"/>
      <c r="BD253" s="2" t="n"/>
      <c r="BE253" s="2" t="n"/>
      <c r="BF253" s="2" t="n"/>
      <c r="BG253" s="2" t="n"/>
      <c r="BH253" s="2" t="n"/>
      <c r="BI253" s="2" t="n"/>
      <c r="BJ253" s="2" t="n"/>
      <c r="BK253" s="2" t="n"/>
      <c r="BL253" s="2" t="n"/>
      <c r="BM253" s="2" t="n"/>
      <c r="BN253" s="2" t="n"/>
      <c r="BO253" s="2" t="n"/>
      <c r="BP253" s="2" t="n"/>
      <c r="BQ253" s="2" t="n"/>
      <c r="BR253" s="2" t="n"/>
      <c r="BS253" s="2" t="n"/>
      <c r="BT253" s="2" t="n"/>
      <c r="BU253" s="2" t="n"/>
      <c r="BV253" s="2" t="n"/>
      <c r="BW253" s="2" t="n"/>
      <c r="BX253" s="2" t="n"/>
      <c r="BY253" s="2" t="n"/>
      <c r="BZ253" s="2" t="n"/>
      <c r="CA253" s="2" t="n"/>
    </row>
    <row r="254" customFormat="1" s="1">
      <c r="B254" s="2" t="n"/>
      <c r="BC254" s="2" t="n"/>
      <c r="BD254" s="2" t="n"/>
      <c r="BE254" s="2" t="n"/>
      <c r="BF254" s="2" t="n"/>
      <c r="BG254" s="2" t="n"/>
      <c r="BH254" s="2" t="n"/>
      <c r="BI254" s="2" t="n"/>
      <c r="BJ254" s="2" t="n"/>
      <c r="BK254" s="2" t="n"/>
      <c r="BL254" s="2" t="n"/>
      <c r="BM254" s="2" t="n"/>
      <c r="BN254" s="2" t="n"/>
      <c r="BO254" s="2" t="n"/>
      <c r="BP254" s="2" t="n"/>
      <c r="BQ254" s="2" t="n"/>
      <c r="BR254" s="2" t="n"/>
      <c r="BS254" s="2" t="n"/>
      <c r="BT254" s="2" t="n"/>
      <c r="BU254" s="2" t="n"/>
      <c r="BV254" s="2" t="n"/>
      <c r="BW254" s="2" t="n"/>
      <c r="BX254" s="2" t="n"/>
      <c r="BY254" s="2" t="n"/>
      <c r="BZ254" s="2" t="n"/>
      <c r="CA254" s="2" t="n"/>
    </row>
    <row r="255" customFormat="1" s="1">
      <c r="B255" s="2" t="n"/>
      <c r="BC255" s="2" t="n"/>
      <c r="BD255" s="2" t="n"/>
      <c r="BE255" s="2" t="n"/>
      <c r="BF255" s="2" t="n"/>
      <c r="BG255" s="2" t="n"/>
      <c r="BH255" s="2" t="n"/>
      <c r="BI255" s="2" t="n"/>
      <c r="BJ255" s="2" t="n"/>
      <c r="BK255" s="2" t="n"/>
      <c r="BL255" s="2" t="n"/>
      <c r="BM255" s="2" t="n"/>
      <c r="BN255" s="2" t="n"/>
      <c r="BO255" s="2" t="n"/>
      <c r="BP255" s="2" t="n"/>
      <c r="BQ255" s="2" t="n"/>
      <c r="BR255" s="2" t="n"/>
      <c r="BS255" s="2" t="n"/>
      <c r="BT255" s="2" t="n"/>
      <c r="BU255" s="2" t="n"/>
      <c r="BV255" s="2" t="n"/>
      <c r="BW255" s="2" t="n"/>
      <c r="BX255" s="2" t="n"/>
      <c r="BY255" s="2" t="n"/>
      <c r="BZ255" s="2" t="n"/>
      <c r="CA255" s="2" t="n"/>
    </row>
  </sheetData>
  <sheetProtection selectLockedCells="1" selectUnlockedCells="0" algorithmName="SHA-512" sheet="1" objects="1" insertRows="1" insertHyperlinks="1" autoFilter="1" scenarios="1" formatColumns="1" deleteColumns="1" insertColumns="1" pivotTables="1" deleteRows="1" formatCells="1" saltValue="uMxb/zSBTGcjQt54YXNlIQ==" formatRows="1" sort="1" spinCount="100000" hashValue="/nze04/iNgBp7rRyLk0Dw8JFUXmv6SfHrHXsu7jAqQrGNXqEd4aOzcQt9TIQn6mIFWj6aNoONMHvYoAYC/S4Bg=="/>
  <mergeCells count="57">
    <mergeCell ref="AM40:AU40"/>
    <mergeCell ref="AM34:AU34"/>
    <mergeCell ref="AD34:AL34"/>
    <mergeCell ref="L42:T42"/>
    <mergeCell ref="AD6:AL6"/>
    <mergeCell ref="A8:A12"/>
    <mergeCell ref="D34:K34"/>
    <mergeCell ref="U41:AC41"/>
    <mergeCell ref="L39:T39"/>
    <mergeCell ref="D35:K35"/>
    <mergeCell ref="AD40:AL40"/>
    <mergeCell ref="A6:A7"/>
    <mergeCell ref="AD36:AL36"/>
    <mergeCell ref="AM39:AU39"/>
    <mergeCell ref="U37:AC37"/>
    <mergeCell ref="A13:A15"/>
    <mergeCell ref="L35:T35"/>
    <mergeCell ref="D36:K36"/>
    <mergeCell ref="D40:K40"/>
    <mergeCell ref="L38:T38"/>
    <mergeCell ref="A35:A39"/>
    <mergeCell ref="L41:T41"/>
    <mergeCell ref="U42:AC42"/>
    <mergeCell ref="O1:S1"/>
    <mergeCell ref="AD41:AL41"/>
    <mergeCell ref="AM35:AU35"/>
    <mergeCell ref="L40:T40"/>
    <mergeCell ref="D41:K41"/>
    <mergeCell ref="U39:AC39"/>
    <mergeCell ref="B5:AU5"/>
    <mergeCell ref="A40:A42"/>
    <mergeCell ref="L34:T34"/>
    <mergeCell ref="L6:T6"/>
    <mergeCell ref="AM6:AU6"/>
    <mergeCell ref="U38:AC38"/>
    <mergeCell ref="AM37:AU37"/>
    <mergeCell ref="AD37:AL37"/>
    <mergeCell ref="L36:T36"/>
    <mergeCell ref="AM36:AU36"/>
    <mergeCell ref="AD42:AL42"/>
    <mergeCell ref="D37:K37"/>
    <mergeCell ref="AM41:AU41"/>
    <mergeCell ref="U35:AC35"/>
    <mergeCell ref="U40:AC40"/>
    <mergeCell ref="U34:AC34"/>
    <mergeCell ref="AD39:AL39"/>
    <mergeCell ref="C6:K6"/>
    <mergeCell ref="AM42:AU42"/>
    <mergeCell ref="D39:K39"/>
    <mergeCell ref="U6:AC6"/>
    <mergeCell ref="AM38:AU38"/>
    <mergeCell ref="D42:K42"/>
    <mergeCell ref="L37:T37"/>
    <mergeCell ref="D38:K38"/>
    <mergeCell ref="AD38:AL38"/>
    <mergeCell ref="U36:AC36"/>
    <mergeCell ref="AD35:AL35"/>
  </mergeCells>
  <conditionalFormatting sqref="G134:N152">
    <cfRule type="cellIs" priority="17" operator="equal" dxfId="0" stopIfTrue="1">
      <formula>""</formula>
    </cfRule>
    <cfRule type="cellIs" priority="18" operator="equal" dxfId="0" stopIfTrue="1">
      <formula>0</formula>
    </cfRule>
  </conditionalFormatting>
  <conditionalFormatting sqref="G158:N176">
    <cfRule type="cellIs" priority="7" operator="equal" dxfId="0" stopIfTrue="1">
      <formula>""</formula>
    </cfRule>
    <cfRule type="cellIs" priority="8" operator="equal" dxfId="0" stopIfTrue="1">
      <formula>0</formula>
    </cfRule>
  </conditionalFormatting>
  <conditionalFormatting sqref="G182:N200">
    <cfRule type="cellIs" priority="5" operator="equal" dxfId="0" stopIfTrue="1">
      <formula>""</formula>
    </cfRule>
    <cfRule type="cellIs" priority="6" operator="equal" dxfId="0" stopIfTrue="1">
      <formula>0</formula>
    </cfRule>
  </conditionalFormatting>
  <conditionalFormatting sqref="G206:N224">
    <cfRule type="cellIs" priority="3" operator="equal" dxfId="0" stopIfTrue="1">
      <formula>""</formula>
    </cfRule>
    <cfRule type="cellIs" priority="4" operator="equal" dxfId="0" stopIfTrue="1">
      <formula>0</formula>
    </cfRule>
  </conditionalFormatting>
  <conditionalFormatting sqref="G230:N248">
    <cfRule type="cellIs" priority="1" operator="equal" dxfId="0" stopIfTrue="1">
      <formula>""</formula>
    </cfRule>
    <cfRule type="cellIs" priority="2" operator="equal" dxfId="0" stopIfTrue="1">
      <formula>0</formula>
    </cfRule>
  </conditionalFormatting>
  <conditionalFormatting sqref="K13:K15 T13:T15 AC13:AC15 AL13:AL15 AU13:AU15">
    <cfRule type="cellIs" priority="145" operator="equal" dxfId="0" stopIfTrue="1">
      <formula>""</formula>
    </cfRule>
    <cfRule type="cellIs" priority="146" operator="equal" dxfId="0" stopIfTrue="1">
      <formula>0</formula>
    </cfRule>
  </conditionalFormatting>
  <conditionalFormatting sqref="P134:P152">
    <cfRule type="cellIs" priority="55" operator="equal" dxfId="0" stopIfTrue="1">
      <formula>""</formula>
    </cfRule>
    <cfRule type="cellIs" priority="56" operator="equal" dxfId="0" stopIfTrue="1">
      <formula>0</formula>
    </cfRule>
  </conditionalFormatting>
  <conditionalFormatting sqref="P158:P176">
    <cfRule type="cellIs" priority="21" operator="equal" dxfId="0" stopIfTrue="1">
      <formula>""</formula>
    </cfRule>
    <cfRule type="cellIs" priority="22" operator="equal" dxfId="0" stopIfTrue="1">
      <formula>0</formula>
    </cfRule>
  </conditionalFormatting>
  <conditionalFormatting sqref="P182:P200">
    <cfRule type="cellIs" priority="39" operator="equal" dxfId="0" stopIfTrue="1">
      <formula>""</formula>
    </cfRule>
    <cfRule type="cellIs" priority="40" operator="equal" dxfId="0" stopIfTrue="1">
      <formula>0</formula>
    </cfRule>
  </conditionalFormatting>
  <conditionalFormatting sqref="P206:P224">
    <cfRule type="cellIs" priority="31" operator="equal" dxfId="0" stopIfTrue="1">
      <formula>""</formula>
    </cfRule>
    <cfRule type="cellIs" priority="32" operator="equal" dxfId="0" stopIfTrue="1">
      <formula>0</formula>
    </cfRule>
  </conditionalFormatting>
  <conditionalFormatting sqref="P230:P248">
    <cfRule type="cellIs" priority="23" operator="equal" dxfId="0" stopIfTrue="1">
      <formula>""</formula>
    </cfRule>
    <cfRule type="cellIs" priority="24" operator="equal" dxfId="0" stopIfTrue="1">
      <formula>0</formula>
    </cfRule>
  </conditionalFormatting>
  <pageMargins left="0.511811024" right="0.511811024" top="0.787401575" bottom="0.787401575" header="0.31496062" footer="0.31496062"/>
  <pageSetup orientation="portrait" paperSize="9"/>
</worksheet>
</file>

<file path=xl/worksheets/sheet4.xml><?xml version="1.0" encoding="utf-8"?>
<worksheet xmlns="http://schemas.openxmlformats.org/spreadsheetml/2006/main">
  <sheetPr codeName="Plan5">
    <outlinePr summaryBelow="1" summaryRight="1"/>
    <pageSetUpPr/>
  </sheetPr>
  <dimension ref="A1:L11"/>
  <sheetViews>
    <sheetView workbookViewId="0">
      <selection activeCell="F15" sqref="F15:F16"/>
    </sheetView>
  </sheetViews>
  <sheetFormatPr baseColWidth="8" defaultColWidth="8.7109375" defaultRowHeight="14.45"/>
  <cols>
    <col width="17.7109375" customWidth="1" style="97" min="1" max="2"/>
    <col width="13.5703125" customWidth="1" style="97" min="3" max="12"/>
    <col width="8.7109375" customWidth="1" style="97" min="13" max="16384"/>
  </cols>
  <sheetData>
    <row r="1" ht="20.65" customHeight="1">
      <c r="A1" s="106" t="n"/>
      <c r="B1" s="106" t="n"/>
      <c r="C1" s="356" t="inlineStr">
        <is>
          <t>Muito Baixa</t>
        </is>
      </c>
      <c r="D1" s="410" t="n"/>
      <c r="E1" s="356" t="inlineStr">
        <is>
          <t>Baixa</t>
        </is>
      </c>
      <c r="F1" s="410" t="n"/>
      <c r="G1" s="356" t="inlineStr">
        <is>
          <t>Média</t>
        </is>
      </c>
      <c r="H1" s="410" t="n"/>
      <c r="I1" s="356" t="inlineStr">
        <is>
          <t>Alta</t>
        </is>
      </c>
      <c r="J1" s="410" t="n"/>
      <c r="K1" s="356" t="inlineStr">
        <is>
          <t>Muito Alta</t>
        </is>
      </c>
      <c r="L1" s="410" t="n"/>
    </row>
    <row r="2">
      <c r="A2" s="98" t="n"/>
      <c r="B2" s="98" t="n"/>
      <c r="C2" s="98" t="n"/>
      <c r="D2" s="99" t="n"/>
      <c r="E2" s="98" t="n"/>
      <c r="F2" s="99" t="n"/>
      <c r="G2" s="98" t="n"/>
      <c r="H2" s="98" t="n"/>
      <c r="I2" s="98" t="n"/>
      <c r="J2" s="98" t="n"/>
      <c r="K2" s="98" t="n"/>
      <c r="L2" s="98" t="n"/>
    </row>
    <row r="3">
      <c r="A3" s="101" t="inlineStr">
        <is>
          <t>Apresentação</t>
        </is>
      </c>
      <c r="B3" s="100" t="inlineStr">
        <is>
          <t>Novo</t>
        </is>
      </c>
      <c r="C3" s="360" t="inlineStr">
        <is>
          <t>Site simples ou formulário com até 3 campos, gerenciamento de uma permissão e um menu de acesso.
Premissas:
- Layout padrão
- Novo layout deverá ser contado separadamente.</t>
        </is>
      </c>
      <c r="D3" s="410" t="n"/>
      <c r="E3" s="357" t="inlineStr">
        <is>
          <t>Site simples com conteúdo ou formulário com até 6 campos, gerenciamento de 2 níveis de permissão, gestão de novos grupos e um menu de acesso e até 1 regra de negócio.
Premissas: 
- Layout padrão
- Novo layout deverá ser contado separadamente.</t>
        </is>
      </c>
      <c r="F3" s="410" t="n"/>
      <c r="G3" s="357" t="inlineStr">
        <is>
          <t>Site simples com conteúdo ou formulário com até 12 campos, gerenciamento de 3 níveis de permissão, gestão de novos grupos e um menu de acesso e até 2 regras de negócio.
Premissas: 
- Layout padrão
- Novo layout deverá ser contado separadamente.
- Formuário poderá ser customizado</t>
        </is>
      </c>
      <c r="H3" s="410" t="n"/>
      <c r="I3" s="357" t="inlineStr">
        <is>
          <t>Site simples com conteúdo ou formulário com até 20 campos, gerenciamento de 4 níveis de permissão, gestão de novos grupos e um menu de acesso e até 5 regras de negócio.
Premissas: 
- Layout padrão
- Novo layout deverá ser contado separadamente.
- Formuário poderá ser customizado</t>
        </is>
      </c>
      <c r="J3" s="410" t="n"/>
      <c r="K3" s="357" t="inlineStr">
        <is>
          <t>Site simples com conteúdo ou formulário com até 30 campos, gerenciamento de 5 níveis de permissão, gestão de novos grupos e um menu de acesso e até 10 regras de negócio.
Premissas: 
- Layout padrão
- Novo layout deverá ser contado separadamente.
- Formuário poderá ser customizado</t>
        </is>
      </c>
      <c r="L3" s="410" t="n"/>
    </row>
    <row r="4">
      <c r="A4" s="414" t="n"/>
      <c r="B4" s="100" t="inlineStr">
        <is>
          <t>Manutenção</t>
        </is>
      </c>
      <c r="C4" s="357" t="inlineStr">
        <is>
          <t>Alteração/inclusão de até 3 objetos.</t>
        </is>
      </c>
      <c r="D4" s="410" t="n"/>
      <c r="E4" s="357" t="inlineStr">
        <is>
          <t>Alteração/inclusão de até 5 objetos.</t>
        </is>
      </c>
      <c r="F4" s="410" t="n"/>
      <c r="G4" s="357" t="inlineStr">
        <is>
          <t>Alteração/inclusão de até 8 objetos.</t>
        </is>
      </c>
      <c r="H4" s="410" t="n"/>
      <c r="I4" s="357" t="inlineStr">
        <is>
          <t>Alteração/inclusão de até 14 objetos.</t>
        </is>
      </c>
      <c r="J4" s="410" t="n"/>
      <c r="K4" s="357" t="inlineStr">
        <is>
          <t>Alteração/inclusão de até 24 objetos.</t>
        </is>
      </c>
      <c r="L4" s="410" t="n"/>
    </row>
    <row r="5">
      <c r="A5" s="101" t="inlineStr">
        <is>
          <t>WorkFlow</t>
        </is>
      </c>
      <c r="B5" s="100" t="inlineStr">
        <is>
          <t>Novo</t>
        </is>
      </c>
      <c r="C5" s="360" t="inlineStr">
        <is>
          <t>- Workflows de aprovação com atribuição e envio de email.</t>
        </is>
      </c>
      <c r="D5" s="410" t="n"/>
      <c r="E5" s="360" t="inlineStr">
        <is>
          <t xml:space="preserve">- Workflows de aprovação em 3 níveis com atribuição e envio de email.
- Gestão do Permissionamento.
</t>
        </is>
      </c>
      <c r="F5" s="410" t="n"/>
      <c r="G5" s="360" t="inlineStr">
        <is>
          <t>- Workflows de aprovação até 3 níveis, ou;
- Gestão de Permissionamento.
- Follow-up.
- Processamento de fórmulas e cálculos.</t>
        </is>
      </c>
      <c r="H5" s="410" t="n"/>
      <c r="I5" s="360" t="inlineStr">
        <is>
          <t>- Integração Webservices.
- Workflows de aprovação com atribuição e follow-up.
- Gestão de Permissionamento.
- Follow-Up.
- Processamento de fórmulas e cálculos.
- Automação em processos de decisão.</t>
        </is>
      </c>
      <c r="J5" s="410" t="n"/>
      <c r="K5" s="360" t="inlineStr">
        <is>
          <t>- Integração Webservices.
- Workflows de aprovação com atribuição e follow-up.
- Gestão de Permissionamento.
- Follow-Up.
- Processamento de fórmulas e cálculos.
- Automação em processos de decisão.
- Parametrização de atributos com funções.
- Configuração de Site/Pages.</t>
        </is>
      </c>
      <c r="L5" s="410" t="n"/>
    </row>
    <row r="6">
      <c r="A6" s="414" t="n"/>
      <c r="B6" s="100" t="inlineStr">
        <is>
          <t>Manutenção</t>
        </is>
      </c>
      <c r="C6" s="360" t="inlineStr">
        <is>
          <t>- Alteração na aprovação ou no permissonamento de 1 objeto.</t>
        </is>
      </c>
      <c r="D6" s="410" t="n"/>
      <c r="E6" s="360" t="inlineStr">
        <is>
          <t>- Alteração na aprovação ou no permissonamento de até 3 objetos.</t>
        </is>
      </c>
      <c r="F6" s="410" t="n"/>
      <c r="G6" s="360" t="inlineStr">
        <is>
          <t>- Alteração na aprovação, permissonamento ou Follow-up de até 3 objetos.
- Alteração no Processamento de fórmulas e cálculos de 1 objeto.</t>
        </is>
      </c>
      <c r="H6" s="410" t="n"/>
      <c r="I6" s="360" t="inlineStr">
        <is>
          <t>- Alteração na aprovação, permissonamento ou Follow-up de até 6 objetos.
- Alteração no Processamento de fórmulas e cálculos de 3 objeto.
- Alteração de 1 objeto na automação em processos de decisão.</t>
        </is>
      </c>
      <c r="J6" s="410" t="n"/>
      <c r="K6" s="360" t="inlineStr">
        <is>
          <t>- Alteração na aprovação, permissonamento ou Follow-up de até 8 objetos.
- Alteração no Processamento de fórmulas e cálculos de até 5 objeto.
- Alteração de até 2 objeto na automação em processos de decisão.
- Alteração de até 1 objeto na Integração Webservices.
- Alteração de até 1 objeto de configuração de Site/Pages.</t>
        </is>
      </c>
      <c r="L6" s="410" t="n"/>
    </row>
    <row r="7">
      <c r="A7" s="101" t="inlineStr">
        <is>
          <t>Estrutura</t>
        </is>
      </c>
      <c r="B7" s="100" t="inlineStr">
        <is>
          <t>Novo</t>
        </is>
      </c>
      <c r="C7" s="360" t="inlineStr">
        <is>
          <t>Criação e configuração de estrutura do site SharePoint.
Configuração de layout de página default da CPFL.</t>
        </is>
      </c>
      <c r="D7" s="410" t="n"/>
      <c r="E7" s="360" t="inlineStr">
        <is>
          <t xml:space="preserve">Criação e configuração de estrutura do site SharePoint.
Configuração de layout de página default da CPFL.
- Customização de MasterPage com elementos gráficos (header, body e footer).
</t>
        </is>
      </c>
      <c r="F7" s="410" t="n"/>
      <c r="G7" s="360" t="inlineStr">
        <is>
          <t>Criação e configuração de estrutura do site SharePoint.
Configuração de layout de página default da CPFL.
- Customização de MasterPage com elementos gráficos (header, body, footer, menu, banner rotativo).
- Page Layouts simples com uma coluna.</t>
        </is>
      </c>
      <c r="H7" s="410" t="n"/>
      <c r="I7" s="360" t="inlineStr">
        <is>
          <t>Criação e configuração de estrutura do site SharePoint.
Configuração de layout de página default da CPFL.
- Customização de MasterPage com elementos gráficos (header, body, footer, menu, banner rotativo).
- Criação de até 3 Page Layouts.</t>
        </is>
      </c>
      <c r="J7" s="410" t="n"/>
      <c r="K7" s="360" t="inlineStr">
        <is>
          <t>Criação e configuração de estrutura do site SharePoint.
Configuração de layout de página default da CPFL.
- Customização de MasterPage com elementos gráficos (header, body, footer, menu, banner rotativo).
- Criação de até 3 Page Layouts.
- Customização de Webpart</t>
        </is>
      </c>
      <c r="L7" s="410" t="n"/>
    </row>
    <row r="8">
      <c r="A8" s="414" t="n"/>
      <c r="B8" s="100" t="inlineStr">
        <is>
          <t>Manutenção</t>
        </is>
      </c>
      <c r="C8" s="360" t="inlineStr">
        <is>
          <t>- Alteração de até 1 objeto na configuração de estrutura do site SharePoint.
- Alteração de até 1 objeto no layout de página default da CPFL.</t>
        </is>
      </c>
      <c r="D8" s="410" t="n"/>
      <c r="E8" s="360" t="inlineStr">
        <is>
          <t>- Alteração de até 2 objeto na configuração de estrutura do site SharePoint.
- Alteração de até 2 objeto no layout de página default da CPFL.
- Alteração de 1 MasterPage com elementos gráficos (header, body e footer).</t>
        </is>
      </c>
      <c r="F8" s="410" t="n"/>
      <c r="G8" s="360" t="inlineStr">
        <is>
          <t>- Alteração de até 2 objeto na configuração de estrutura do site SharePoint.
- Alteração de até 2 objeto no layout de página default da CPFL.
- Alteração de 1 MasterPage  com elementos gráficos (header, body, footer, menu, banner rotativo).
- Alteração de 1 Page Layout simples com uma coluna.</t>
        </is>
      </c>
      <c r="H8" s="410" t="n"/>
      <c r="I8" s="360" t="inlineStr">
        <is>
          <t>- Alteração de até 2 objeto na configuração de estrutura do site SharePoint.
- Alteração de até 2 objeto no layout de página default da CPFL.
- Alteração de 1 MasterPage  com elementos gráficos (header, body, footer, menu, banner rotativo).
- Alteração de até 3 Page Layouts.</t>
        </is>
      </c>
      <c r="J8" s="410" t="n"/>
      <c r="K8" s="360" t="inlineStr">
        <is>
          <t>- Alteração de até 2 objeto na configuração de estrutura do site SharePoint.
- Alteração de até 2 objeto no layout de página default da CPFL.
- Alteração de 1 MasterPage  com elementos gráficos (header, body, footer, menu, banner rotativo).
- Alteração de até 3 Page Layouts.
- Alteração de Webpart customizada.</t>
        </is>
      </c>
      <c r="L8" s="410" t="n"/>
    </row>
    <row r="9">
      <c r="A9" s="101" t="inlineStr">
        <is>
          <t>Treinamento</t>
        </is>
      </c>
      <c r="B9" s="101" t="inlineStr">
        <is>
          <t>Treinamentos</t>
        </is>
      </c>
      <c r="C9" s="360" t="inlineStr">
        <is>
          <t>- Treinamento básico das funcionalidades da ferramenta.</t>
        </is>
      </c>
      <c r="D9" s="410" t="n"/>
      <c r="E9" s="360" t="inlineStr">
        <is>
          <t>- Treinamento avançado da ferramenta.</t>
        </is>
      </c>
      <c r="F9" s="410" t="n"/>
      <c r="G9" s="360" t="inlineStr">
        <is>
          <t>- Treinamento customizado para sistema/cliente.</t>
        </is>
      </c>
      <c r="H9" s="410" t="n"/>
      <c r="I9" s="360" t="inlineStr">
        <is>
          <t>- Criação de material e apresentação de treinamento Workshop para o sistema do cliente.</t>
        </is>
      </c>
      <c r="J9" s="410" t="n"/>
      <c r="K9" s="360" t="inlineStr">
        <is>
          <t>- Criação de material e apresentação de treinamento Workshop para o sistema do cliente.
- Treinamento para pontos focais de partes do sistema.</t>
        </is>
      </c>
      <c r="L9" s="410" t="n"/>
    </row>
    <row r="10">
      <c r="A10" s="98" t="n"/>
      <c r="B10" s="98" t="n"/>
      <c r="C10" s="98" t="n"/>
      <c r="D10" s="99" t="n"/>
      <c r="E10" s="98" t="n"/>
      <c r="F10" s="99" t="n"/>
      <c r="G10" s="98" t="n"/>
      <c r="H10" s="98" t="n"/>
      <c r="I10" s="98" t="n"/>
      <c r="J10" s="98" t="n"/>
      <c r="K10" s="98" t="n"/>
      <c r="L10" s="98" t="n"/>
    </row>
    <row r="11" ht="61.15" customHeight="1">
      <c r="A11" s="361" t="inlineStr">
        <is>
          <t>Análise da documentação do sistema</t>
        </is>
      </c>
      <c r="B11" s="409" t="n"/>
      <c r="C11" s="363" t="inlineStr">
        <is>
          <t>Regra aplicável para os casos de alteração em funcionalidades:
- Avaliar se existe especificação (funcional e técnica) sobre o contexto atual do sistema e funcionalidade que será alterada.
- Se houver documentação considerar o percentual de 50%. Não havendo, será considerar 70%.</t>
        </is>
      </c>
    </row>
  </sheetData>
  <sheetProtection selectLockedCells="0" selectUnlockedCells="0" sheet="1" objects="1" insertRows="1" insertHyperlinks="1" autoFilter="1" scenarios="1" formatColumns="1" deleteColumns="1" insertColumns="1" pivotTables="1" deleteRows="1" formatCells="1" formatRows="1" sort="1"/>
  <mergeCells count="45">
    <mergeCell ref="C6:D6"/>
    <mergeCell ref="I6:J6"/>
    <mergeCell ref="A11:B11"/>
    <mergeCell ref="C5:D5"/>
    <mergeCell ref="K9:L9"/>
    <mergeCell ref="A7:A8"/>
    <mergeCell ref="K5:L5"/>
    <mergeCell ref="E5:F5"/>
    <mergeCell ref="G8:H8"/>
    <mergeCell ref="E8:F8"/>
    <mergeCell ref="C4:D4"/>
    <mergeCell ref="E4:F4"/>
    <mergeCell ref="G7:H7"/>
    <mergeCell ref="C1:D1"/>
    <mergeCell ref="I7:J7"/>
    <mergeCell ref="A3:A4"/>
    <mergeCell ref="K1:L1"/>
    <mergeCell ref="E1:F1"/>
    <mergeCell ref="C11:L11"/>
    <mergeCell ref="G6:H6"/>
    <mergeCell ref="C9:D9"/>
    <mergeCell ref="E9:F9"/>
    <mergeCell ref="G3:H3"/>
    <mergeCell ref="I3:J3"/>
    <mergeCell ref="A5:A6"/>
    <mergeCell ref="E6:F6"/>
    <mergeCell ref="K8:L8"/>
    <mergeCell ref="G5:H5"/>
    <mergeCell ref="K6:L6"/>
    <mergeCell ref="I5:J5"/>
    <mergeCell ref="I8:J8"/>
    <mergeCell ref="C8:D8"/>
    <mergeCell ref="I1:J1"/>
    <mergeCell ref="G4:H4"/>
    <mergeCell ref="K7:L7"/>
    <mergeCell ref="I4:J4"/>
    <mergeCell ref="C7:D7"/>
    <mergeCell ref="E7:F7"/>
    <mergeCell ref="G1:H1"/>
    <mergeCell ref="K4:L4"/>
    <mergeCell ref="G9:H9"/>
    <mergeCell ref="C3:D3"/>
    <mergeCell ref="I9:J9"/>
    <mergeCell ref="E3:F3"/>
    <mergeCell ref="K3:L3"/>
  </mergeCells>
  <pageMargins left="0.511811024" right="0.511811024" top="0.787401575" bottom="0.787401575" header="0.31496062" footer="0.31496062"/>
  <pageSetup orientation="portrait" paperSize="9"/>
</worksheet>
</file>

<file path=xl/worksheets/sheet5.xml><?xml version="1.0" encoding="utf-8"?>
<worksheet xmlns="http://schemas.openxmlformats.org/spreadsheetml/2006/main">
  <sheetPr>
    <outlinePr summaryBelow="1" summaryRight="1"/>
    <pageSetUpPr/>
  </sheetPr>
  <dimension ref="A1:H39"/>
  <sheetViews>
    <sheetView workbookViewId="0">
      <selection activeCell="A1" sqref="A1"/>
    </sheetView>
  </sheetViews>
  <sheetFormatPr baseColWidth="8" defaultRowHeight="15"/>
  <cols>
    <col width="15" customWidth="1" min="1" max="1"/>
    <col width="20" customWidth="1" min="2" max="2"/>
    <col width="40" customWidth="1" min="3" max="3"/>
    <col width="15" customWidth="1" min="4" max="4"/>
    <col width="15" customWidth="1" min="5" max="5"/>
    <col width="15" customWidth="1" min="6" max="6"/>
    <col width="15" customWidth="1" min="7" max="7"/>
    <col width="15" customWidth="1" min="8" max="8"/>
  </cols>
  <sheetData>
    <row r="1">
      <c r="A1" s="415" t="inlineStr">
        <is>
          <t>Tipo</t>
        </is>
      </c>
      <c r="B1" s="415" t="inlineStr">
        <is>
          <t>Categoria</t>
        </is>
      </c>
      <c r="C1" s="415" t="inlineStr">
        <is>
          <t>Componente</t>
        </is>
      </c>
      <c r="D1" s="415" t="inlineStr">
        <is>
          <t>Muito Baixa</t>
        </is>
      </c>
      <c r="E1" s="415" t="inlineStr">
        <is>
          <t>Baixa</t>
        </is>
      </c>
      <c r="F1" s="415" t="inlineStr">
        <is>
          <t>Média</t>
        </is>
      </c>
      <c r="G1" s="415" t="inlineStr">
        <is>
          <t>Alta</t>
        </is>
      </c>
      <c r="H1" s="415" t="inlineStr">
        <is>
          <t>Muito Alta</t>
        </is>
      </c>
    </row>
    <row r="2">
      <c r="A2" s="416" t="inlineStr">
        <is>
          <t>Novo</t>
        </is>
      </c>
      <c r="B2" s="416" t="inlineStr">
        <is>
          <t>Front-End</t>
        </is>
      </c>
      <c r="C2" s="416" t="inlineStr">
        <is>
          <t>Tela de Autenticação / Login</t>
        </is>
      </c>
      <c r="D2" s="417" t="n">
        <v>9.199999999999999</v>
      </c>
      <c r="E2" s="417" t="n">
        <v>13.8</v>
      </c>
      <c r="F2" s="417" t="n">
        <v>18.4</v>
      </c>
      <c r="G2" s="417" t="n">
        <v>27.6</v>
      </c>
      <c r="H2" s="417" t="n">
        <v>36.8</v>
      </c>
    </row>
    <row r="3">
      <c r="A3" s="416" t="inlineStr">
        <is>
          <t>Novo</t>
        </is>
      </c>
      <c r="B3" s="416" t="inlineStr">
        <is>
          <t>Front-End</t>
        </is>
      </c>
      <c r="C3" s="416" t="inlineStr">
        <is>
          <t>Formulário de Cadastro Simples</t>
        </is>
      </c>
      <c r="D3" s="417" t="n">
        <v>13.8</v>
      </c>
      <c r="E3" s="417" t="n">
        <v>20.7</v>
      </c>
      <c r="F3" s="417" t="n">
        <v>27.6</v>
      </c>
      <c r="G3" s="417" t="n">
        <v>41.4</v>
      </c>
      <c r="H3" s="417" t="n">
        <v>55.2</v>
      </c>
    </row>
    <row r="4">
      <c r="A4" s="416" t="inlineStr">
        <is>
          <t>Novo</t>
        </is>
      </c>
      <c r="B4" s="416" t="inlineStr">
        <is>
          <t>Front-End</t>
        </is>
      </c>
      <c r="C4" s="416" t="inlineStr">
        <is>
          <t>Formulário Mestre-Detalhe</t>
        </is>
      </c>
      <c r="D4" s="417" t="n">
        <v>27.6</v>
      </c>
      <c r="E4" s="417" t="n">
        <v>41.4</v>
      </c>
      <c r="F4" s="417" t="n">
        <v>55.2</v>
      </c>
      <c r="G4" s="417" t="n">
        <v>82.8</v>
      </c>
      <c r="H4" s="417" t="n">
        <v>110.4</v>
      </c>
    </row>
    <row r="5">
      <c r="A5" s="416" t="inlineStr">
        <is>
          <t>Novo</t>
        </is>
      </c>
      <c r="B5" s="416" t="inlineStr">
        <is>
          <t>Front-End</t>
        </is>
      </c>
      <c r="C5" s="416" t="inlineStr">
        <is>
          <t>Listagem / Grid</t>
        </is>
      </c>
      <c r="D5" s="417" t="n">
        <v>9.199999999999999</v>
      </c>
      <c r="E5" s="417" t="n">
        <v>13.8</v>
      </c>
      <c r="F5" s="417" t="n">
        <v>18.4</v>
      </c>
      <c r="G5" s="417" t="n">
        <v>27.6</v>
      </c>
      <c r="H5" s="417" t="n">
        <v>36.8</v>
      </c>
    </row>
    <row r="6">
      <c r="A6" s="416" t="inlineStr">
        <is>
          <t>Novo</t>
        </is>
      </c>
      <c r="B6" s="416" t="inlineStr">
        <is>
          <t>Front-End</t>
        </is>
      </c>
      <c r="C6" s="416" t="inlineStr">
        <is>
          <t>Dashboard / Relatório Gráfico</t>
        </is>
      </c>
      <c r="D6" s="417" t="n">
        <v>23</v>
      </c>
      <c r="E6" s="417" t="n">
        <v>34.5</v>
      </c>
      <c r="F6" s="417" t="n">
        <v>46</v>
      </c>
      <c r="G6" s="417" t="n">
        <v>69</v>
      </c>
      <c r="H6" s="417" t="n">
        <v>92</v>
      </c>
    </row>
    <row r="7">
      <c r="A7" s="416" t="inlineStr">
        <is>
          <t>Novo</t>
        </is>
      </c>
      <c r="B7" s="416" t="inlineStr">
        <is>
          <t>Front-End</t>
        </is>
      </c>
      <c r="C7" s="416" t="inlineStr">
        <is>
          <t>Componente Visual Customizado</t>
        </is>
      </c>
      <c r="D7" s="417" t="n">
        <v>13.8</v>
      </c>
      <c r="E7" s="417" t="n">
        <v>20.7</v>
      </c>
      <c r="F7" s="417" t="n">
        <v>27.6</v>
      </c>
      <c r="G7" s="417" t="n">
        <v>41.4</v>
      </c>
      <c r="H7" s="417" t="n">
        <v>55.2</v>
      </c>
    </row>
    <row r="8">
      <c r="A8" s="416" t="inlineStr">
        <is>
          <t>Novo</t>
        </is>
      </c>
      <c r="B8" s="416" t="inlineStr">
        <is>
          <t>Back-End</t>
        </is>
      </c>
      <c r="C8" s="416" t="inlineStr">
        <is>
          <t>Regra de Negócio Simples</t>
        </is>
      </c>
      <c r="D8" s="417" t="n">
        <v>6.9</v>
      </c>
      <c r="E8" s="417" t="n">
        <v>10.35</v>
      </c>
      <c r="F8" s="417" t="n">
        <v>13.8</v>
      </c>
      <c r="G8" s="417" t="n">
        <v>20.7</v>
      </c>
      <c r="H8" s="417" t="n">
        <v>27.6</v>
      </c>
    </row>
    <row r="9">
      <c r="A9" s="416" t="inlineStr">
        <is>
          <t>Novo</t>
        </is>
      </c>
      <c r="B9" s="416" t="inlineStr">
        <is>
          <t>Back-End</t>
        </is>
      </c>
      <c r="C9" s="416" t="inlineStr">
        <is>
          <t>Regra de Negócio Complexa</t>
        </is>
      </c>
      <c r="D9" s="417" t="n">
        <v>18.4</v>
      </c>
      <c r="E9" s="417" t="n">
        <v>27.6</v>
      </c>
      <c r="F9" s="417" t="n">
        <v>36.8</v>
      </c>
      <c r="G9" s="417" t="n">
        <v>55.2</v>
      </c>
      <c r="H9" s="417" t="n">
        <v>73.59999999999999</v>
      </c>
    </row>
    <row r="10">
      <c r="A10" s="416" t="inlineStr">
        <is>
          <t>Novo</t>
        </is>
      </c>
      <c r="B10" s="416" t="inlineStr">
        <is>
          <t>Back-End</t>
        </is>
      </c>
      <c r="C10" s="416" t="inlineStr">
        <is>
          <t>Endpoint de API (CRUD Padrão)</t>
        </is>
      </c>
      <c r="D10" s="417" t="n">
        <v>13.8</v>
      </c>
      <c r="E10" s="417" t="n">
        <v>20.7</v>
      </c>
      <c r="F10" s="417" t="n">
        <v>27.6</v>
      </c>
      <c r="G10" s="417" t="n">
        <v>41.4</v>
      </c>
      <c r="H10" s="417" t="n">
        <v>55.2</v>
      </c>
    </row>
    <row r="11">
      <c r="A11" s="416" t="inlineStr">
        <is>
          <t>Novo</t>
        </is>
      </c>
      <c r="B11" s="416" t="inlineStr">
        <is>
          <t>Back-End</t>
        </is>
      </c>
      <c r="C11" s="416" t="inlineStr">
        <is>
          <t>Gestão de Perfis / Permissões</t>
        </is>
      </c>
      <c r="D11" s="417" t="n">
        <v>9.199999999999999</v>
      </c>
      <c r="E11" s="417" t="n">
        <v>13.8</v>
      </c>
      <c r="F11" s="417" t="n">
        <v>18.4</v>
      </c>
      <c r="G11" s="417" t="n">
        <v>27.6</v>
      </c>
      <c r="H11" s="417" t="n">
        <v>36.8</v>
      </c>
    </row>
    <row r="12">
      <c r="A12" s="416" t="inlineStr">
        <is>
          <t>Novo</t>
        </is>
      </c>
      <c r="B12" s="416" t="inlineStr">
        <is>
          <t>Integração</t>
        </is>
      </c>
      <c r="C12" s="416" t="inlineStr">
        <is>
          <t>Consumo de API Externa (Outbound)</t>
        </is>
      </c>
      <c r="D12" s="417" t="n">
        <v>18.4</v>
      </c>
      <c r="E12" s="417" t="n">
        <v>27.6</v>
      </c>
      <c r="F12" s="417" t="n">
        <v>36.8</v>
      </c>
      <c r="G12" s="417" t="n">
        <v>55.2</v>
      </c>
      <c r="H12" s="417" t="n">
        <v>73.59999999999999</v>
      </c>
    </row>
    <row r="13">
      <c r="A13" s="416" t="inlineStr">
        <is>
          <t>Novo</t>
        </is>
      </c>
      <c r="B13" s="416" t="inlineStr">
        <is>
          <t>Integração</t>
        </is>
      </c>
      <c r="C13" s="416" t="inlineStr">
        <is>
          <t>Serviço de Recepção (Inbound)</t>
        </is>
      </c>
      <c r="D13" s="417" t="n">
        <v>18.4</v>
      </c>
      <c r="E13" s="417" t="n">
        <v>27.6</v>
      </c>
      <c r="F13" s="417" t="n">
        <v>36.8</v>
      </c>
      <c r="G13" s="417" t="n">
        <v>55.2</v>
      </c>
      <c r="H13" s="417" t="n">
        <v>73.59999999999999</v>
      </c>
    </row>
    <row r="14">
      <c r="A14" s="416" t="inlineStr">
        <is>
          <t>Novo</t>
        </is>
      </c>
      <c r="B14" s="416" t="inlineStr">
        <is>
          <t>Integração</t>
        </is>
      </c>
      <c r="C14" s="416" t="inlineStr">
        <is>
          <t>Job / Rotina Assíncrona</t>
        </is>
      </c>
      <c r="D14" s="417" t="n">
        <v>13.8</v>
      </c>
      <c r="E14" s="417" t="n">
        <v>20.7</v>
      </c>
      <c r="F14" s="417" t="n">
        <v>27.6</v>
      </c>
      <c r="G14" s="417" t="n">
        <v>41.4</v>
      </c>
      <c r="H14" s="417" t="n">
        <v>55.2</v>
      </c>
    </row>
    <row r="15">
      <c r="A15" s="416" t="inlineStr">
        <is>
          <t>Novo</t>
        </is>
      </c>
      <c r="B15" s="416" t="inlineStr">
        <is>
          <t>Banco de Dados</t>
        </is>
      </c>
      <c r="C15" s="416" t="inlineStr">
        <is>
          <t>Modelagem / Entidade Básica</t>
        </is>
      </c>
      <c r="D15" s="417" t="n">
        <v>4.6</v>
      </c>
      <c r="E15" s="417" t="n">
        <v>6.9</v>
      </c>
      <c r="F15" s="417" t="n">
        <v>9.199999999999999</v>
      </c>
      <c r="G15" s="417" t="n">
        <v>13.8</v>
      </c>
      <c r="H15" s="417" t="n">
        <v>18.4</v>
      </c>
    </row>
    <row r="16">
      <c r="A16" s="416" t="inlineStr">
        <is>
          <t>Novo</t>
        </is>
      </c>
      <c r="B16" s="416" t="inlineStr">
        <is>
          <t>Banco de Dados</t>
        </is>
      </c>
      <c r="C16" s="416" t="inlineStr">
        <is>
          <t>View ou Query Complexa</t>
        </is>
      </c>
      <c r="D16" s="417" t="n">
        <v>9.199999999999999</v>
      </c>
      <c r="E16" s="417" t="n">
        <v>13.8</v>
      </c>
      <c r="F16" s="417" t="n">
        <v>18.4</v>
      </c>
      <c r="G16" s="417" t="n">
        <v>27.6</v>
      </c>
      <c r="H16" s="417" t="n">
        <v>36.8</v>
      </c>
    </row>
    <row r="17">
      <c r="A17" s="416" t="inlineStr">
        <is>
          <t>Novo</t>
        </is>
      </c>
      <c r="B17" s="416" t="inlineStr">
        <is>
          <t>Banco de Dados</t>
        </is>
      </c>
      <c r="C17" s="416" t="inlineStr">
        <is>
          <t>Script de Carga de Dados (ETL)</t>
        </is>
      </c>
      <c r="D17" s="417" t="n">
        <v>13.8</v>
      </c>
      <c r="E17" s="417" t="n">
        <v>20.7</v>
      </c>
      <c r="F17" s="417" t="n">
        <v>27.6</v>
      </c>
      <c r="G17" s="417" t="n">
        <v>41.4</v>
      </c>
      <c r="H17" s="417" t="n">
        <v>55.2</v>
      </c>
    </row>
    <row r="18">
      <c r="A18" s="416" t="inlineStr">
        <is>
          <t>Novo</t>
        </is>
      </c>
      <c r="B18" s="416" t="inlineStr">
        <is>
          <t>Outros</t>
        </is>
      </c>
      <c r="C18" s="416" t="inlineStr">
        <is>
          <t>Setup de Projeto Base</t>
        </is>
      </c>
      <c r="D18" s="417" t="n">
        <v>18.4</v>
      </c>
      <c r="E18" s="417" t="n">
        <v>27.6</v>
      </c>
      <c r="F18" s="417" t="n">
        <v>36.8</v>
      </c>
      <c r="G18" s="417" t="n">
        <v>55.2</v>
      </c>
      <c r="H18" s="417" t="n">
        <v>73.59999999999999</v>
      </c>
    </row>
    <row r="19">
      <c r="A19" s="416" t="inlineStr">
        <is>
          <t>Novo</t>
        </is>
      </c>
      <c r="B19" s="416" t="inlineStr">
        <is>
          <t>Outros</t>
        </is>
      </c>
      <c r="C19" s="416" t="inlineStr">
        <is>
          <t>Testes Unitários</t>
        </is>
      </c>
      <c r="D19" s="417" t="n">
        <v>9.199999999999999</v>
      </c>
      <c r="E19" s="417" t="n">
        <v>13.8</v>
      </c>
      <c r="F19" s="417" t="n">
        <v>18.4</v>
      </c>
      <c r="G19" s="417" t="n">
        <v>27.6</v>
      </c>
      <c r="H19" s="417" t="n">
        <v>36.8</v>
      </c>
    </row>
    <row r="20">
      <c r="A20" s="416" t="inlineStr">
        <is>
          <t>Novo</t>
        </is>
      </c>
      <c r="B20" s="416" t="inlineStr">
        <is>
          <t>Outros</t>
        </is>
      </c>
      <c r="C20" s="416" t="inlineStr">
        <is>
          <t>Documentação Técnica</t>
        </is>
      </c>
      <c r="D20" s="417" t="n">
        <v>9.199999999999999</v>
      </c>
      <c r="E20" s="417" t="n">
        <v>13.8</v>
      </c>
      <c r="F20" s="417" t="n">
        <v>18.4</v>
      </c>
      <c r="G20" s="417" t="n">
        <v>27.6</v>
      </c>
      <c r="H20" s="417" t="n">
        <v>36.8</v>
      </c>
    </row>
    <row r="21">
      <c r="A21" s="416" t="inlineStr">
        <is>
          <t>Ajuste</t>
        </is>
      </c>
      <c r="B21" s="416" t="inlineStr">
        <is>
          <t>Front-End</t>
        </is>
      </c>
      <c r="C21" s="416" t="inlineStr">
        <is>
          <t>Tela de Autenticação / Login</t>
        </is>
      </c>
      <c r="D21" s="417" t="n">
        <v>5.52</v>
      </c>
      <c r="E21" s="417" t="n">
        <v>8.279999999999999</v>
      </c>
      <c r="F21" s="417" t="n">
        <v>11.04</v>
      </c>
      <c r="G21" s="417" t="n">
        <v>16.56</v>
      </c>
      <c r="H21" s="417" t="n">
        <v>22.08</v>
      </c>
    </row>
    <row r="22">
      <c r="A22" s="416" t="inlineStr">
        <is>
          <t>Ajuste</t>
        </is>
      </c>
      <c r="B22" s="416" t="inlineStr">
        <is>
          <t>Front-End</t>
        </is>
      </c>
      <c r="C22" s="416" t="inlineStr">
        <is>
          <t>Formulário de Cadastro Simples</t>
        </is>
      </c>
      <c r="D22" s="417" t="n">
        <v>8.279999999999999</v>
      </c>
      <c r="E22" s="417" t="n">
        <v>12.42</v>
      </c>
      <c r="F22" s="417" t="n">
        <v>16.56</v>
      </c>
      <c r="G22" s="417" t="n">
        <v>24.84</v>
      </c>
      <c r="H22" s="417" t="n">
        <v>33.12</v>
      </c>
    </row>
    <row r="23">
      <c r="A23" s="416" t="inlineStr">
        <is>
          <t>Ajuste</t>
        </is>
      </c>
      <c r="B23" s="416" t="inlineStr">
        <is>
          <t>Front-End</t>
        </is>
      </c>
      <c r="C23" s="416" t="inlineStr">
        <is>
          <t>Formulário Mestre-Detalhe</t>
        </is>
      </c>
      <c r="D23" s="417" t="n">
        <v>16.56</v>
      </c>
      <c r="E23" s="417" t="n">
        <v>24.84</v>
      </c>
      <c r="F23" s="417" t="n">
        <v>33.12</v>
      </c>
      <c r="G23" s="417" t="n">
        <v>49.68</v>
      </c>
      <c r="H23" s="417" t="n">
        <v>66.23999999999999</v>
      </c>
    </row>
    <row r="24">
      <c r="A24" s="416" t="inlineStr">
        <is>
          <t>Ajuste</t>
        </is>
      </c>
      <c r="B24" s="416" t="inlineStr">
        <is>
          <t>Front-End</t>
        </is>
      </c>
      <c r="C24" s="416" t="inlineStr">
        <is>
          <t>Listagem / Grid</t>
        </is>
      </c>
      <c r="D24" s="417" t="n">
        <v>5.52</v>
      </c>
      <c r="E24" s="417" t="n">
        <v>8.279999999999999</v>
      </c>
      <c r="F24" s="417" t="n">
        <v>11.04</v>
      </c>
      <c r="G24" s="417" t="n">
        <v>16.56</v>
      </c>
      <c r="H24" s="417" t="n">
        <v>22.08</v>
      </c>
    </row>
    <row r="25">
      <c r="A25" s="416" t="inlineStr">
        <is>
          <t>Ajuste</t>
        </is>
      </c>
      <c r="B25" s="416" t="inlineStr">
        <is>
          <t>Front-End</t>
        </is>
      </c>
      <c r="C25" s="416" t="inlineStr">
        <is>
          <t>Dashboard / Relatório Gráfico</t>
        </is>
      </c>
      <c r="D25" s="417" t="n">
        <v>13.8</v>
      </c>
      <c r="E25" s="417" t="n">
        <v>20.7</v>
      </c>
      <c r="F25" s="417" t="n">
        <v>27.6</v>
      </c>
      <c r="G25" s="417" t="n">
        <v>41.4</v>
      </c>
      <c r="H25" s="417" t="n">
        <v>55.2</v>
      </c>
    </row>
    <row r="26">
      <c r="A26" s="416" t="inlineStr">
        <is>
          <t>Ajuste</t>
        </is>
      </c>
      <c r="B26" s="416" t="inlineStr">
        <is>
          <t>Front-End</t>
        </is>
      </c>
      <c r="C26" s="416" t="inlineStr">
        <is>
          <t>Componente Visual Customizado</t>
        </is>
      </c>
      <c r="D26" s="417" t="n">
        <v>8.279999999999999</v>
      </c>
      <c r="E26" s="417" t="n">
        <v>12.42</v>
      </c>
      <c r="F26" s="417" t="n">
        <v>16.56</v>
      </c>
      <c r="G26" s="417" t="n">
        <v>24.84</v>
      </c>
      <c r="H26" s="417" t="n">
        <v>33.12</v>
      </c>
    </row>
    <row r="27">
      <c r="A27" s="416" t="inlineStr">
        <is>
          <t>Ajuste</t>
        </is>
      </c>
      <c r="B27" s="416" t="inlineStr">
        <is>
          <t>Back-End</t>
        </is>
      </c>
      <c r="C27" s="416" t="inlineStr">
        <is>
          <t>Regra de Negócio Simples</t>
        </is>
      </c>
      <c r="D27" s="417" t="n">
        <v>4.14</v>
      </c>
      <c r="E27" s="417" t="n">
        <v>6.21</v>
      </c>
      <c r="F27" s="417" t="n">
        <v>8.279999999999999</v>
      </c>
      <c r="G27" s="417" t="n">
        <v>12.42</v>
      </c>
      <c r="H27" s="417" t="n">
        <v>16.56</v>
      </c>
    </row>
    <row r="28">
      <c r="A28" s="416" t="inlineStr">
        <is>
          <t>Ajuste</t>
        </is>
      </c>
      <c r="B28" s="416" t="inlineStr">
        <is>
          <t>Back-End</t>
        </is>
      </c>
      <c r="C28" s="416" t="inlineStr">
        <is>
          <t>Regra de Negócio Complexa</t>
        </is>
      </c>
      <c r="D28" s="417" t="n">
        <v>11.04</v>
      </c>
      <c r="E28" s="417" t="n">
        <v>16.56</v>
      </c>
      <c r="F28" s="417" t="n">
        <v>22.08</v>
      </c>
      <c r="G28" s="417" t="n">
        <v>33.12</v>
      </c>
      <c r="H28" s="417" t="n">
        <v>44.16</v>
      </c>
    </row>
    <row r="29">
      <c r="A29" s="416" t="inlineStr">
        <is>
          <t>Ajuste</t>
        </is>
      </c>
      <c r="B29" s="416" t="inlineStr">
        <is>
          <t>Back-End</t>
        </is>
      </c>
      <c r="C29" s="416" t="inlineStr">
        <is>
          <t>Endpoint de API (CRUD Padrão)</t>
        </is>
      </c>
      <c r="D29" s="417" t="n">
        <v>8.279999999999999</v>
      </c>
      <c r="E29" s="417" t="n">
        <v>12.42</v>
      </c>
      <c r="F29" s="417" t="n">
        <v>16.56</v>
      </c>
      <c r="G29" s="417" t="n">
        <v>24.84</v>
      </c>
      <c r="H29" s="417" t="n">
        <v>33.12</v>
      </c>
    </row>
    <row r="30">
      <c r="A30" s="416" t="inlineStr">
        <is>
          <t>Ajuste</t>
        </is>
      </c>
      <c r="B30" s="416" t="inlineStr">
        <is>
          <t>Back-End</t>
        </is>
      </c>
      <c r="C30" s="416" t="inlineStr">
        <is>
          <t>Gestão de Perfis / Permissões</t>
        </is>
      </c>
      <c r="D30" s="417" t="n">
        <v>5.52</v>
      </c>
      <c r="E30" s="417" t="n">
        <v>8.279999999999999</v>
      </c>
      <c r="F30" s="417" t="n">
        <v>11.04</v>
      </c>
      <c r="G30" s="417" t="n">
        <v>16.56</v>
      </c>
      <c r="H30" s="417" t="n">
        <v>22.08</v>
      </c>
    </row>
    <row r="31">
      <c r="A31" s="416" t="inlineStr">
        <is>
          <t>Ajuste</t>
        </is>
      </c>
      <c r="B31" s="416" t="inlineStr">
        <is>
          <t>Integração</t>
        </is>
      </c>
      <c r="C31" s="416" t="inlineStr">
        <is>
          <t>Consumo de API Externa (Outbound)</t>
        </is>
      </c>
      <c r="D31" s="417" t="n">
        <v>11.04</v>
      </c>
      <c r="E31" s="417" t="n">
        <v>16.56</v>
      </c>
      <c r="F31" s="417" t="n">
        <v>22.08</v>
      </c>
      <c r="G31" s="417" t="n">
        <v>33.12</v>
      </c>
      <c r="H31" s="417" t="n">
        <v>44.16</v>
      </c>
    </row>
    <row r="32">
      <c r="A32" s="416" t="inlineStr">
        <is>
          <t>Ajuste</t>
        </is>
      </c>
      <c r="B32" s="416" t="inlineStr">
        <is>
          <t>Integração</t>
        </is>
      </c>
      <c r="C32" s="416" t="inlineStr">
        <is>
          <t>Serviço de Recepção (Inbound)</t>
        </is>
      </c>
      <c r="D32" s="417" t="n">
        <v>11.04</v>
      </c>
      <c r="E32" s="417" t="n">
        <v>16.56</v>
      </c>
      <c r="F32" s="417" t="n">
        <v>22.08</v>
      </c>
      <c r="G32" s="417" t="n">
        <v>33.12</v>
      </c>
      <c r="H32" s="417" t="n">
        <v>44.16</v>
      </c>
    </row>
    <row r="33">
      <c r="A33" s="416" t="inlineStr">
        <is>
          <t>Ajuste</t>
        </is>
      </c>
      <c r="B33" s="416" t="inlineStr">
        <is>
          <t>Integração</t>
        </is>
      </c>
      <c r="C33" s="416" t="inlineStr">
        <is>
          <t>Job / Rotina Assíncrona</t>
        </is>
      </c>
      <c r="D33" s="417" t="n">
        <v>8.279999999999999</v>
      </c>
      <c r="E33" s="417" t="n">
        <v>12.42</v>
      </c>
      <c r="F33" s="417" t="n">
        <v>16.56</v>
      </c>
      <c r="G33" s="417" t="n">
        <v>24.84</v>
      </c>
      <c r="H33" s="417" t="n">
        <v>33.12</v>
      </c>
    </row>
    <row r="34">
      <c r="A34" s="416" t="inlineStr">
        <is>
          <t>Ajuste</t>
        </is>
      </c>
      <c r="B34" s="416" t="inlineStr">
        <is>
          <t>Banco de Dados</t>
        </is>
      </c>
      <c r="C34" s="416" t="inlineStr">
        <is>
          <t>Modelagem / Entidade Básica</t>
        </is>
      </c>
      <c r="D34" s="417" t="n">
        <v>2.76</v>
      </c>
      <c r="E34" s="417" t="n">
        <v>4.14</v>
      </c>
      <c r="F34" s="417" t="n">
        <v>5.52</v>
      </c>
      <c r="G34" s="417" t="n">
        <v>8.279999999999999</v>
      </c>
      <c r="H34" s="417" t="n">
        <v>11.04</v>
      </c>
    </row>
    <row r="35">
      <c r="A35" s="416" t="inlineStr">
        <is>
          <t>Ajuste</t>
        </is>
      </c>
      <c r="B35" s="416" t="inlineStr">
        <is>
          <t>Banco de Dados</t>
        </is>
      </c>
      <c r="C35" s="416" t="inlineStr">
        <is>
          <t>View ou Query Complexa</t>
        </is>
      </c>
      <c r="D35" s="417" t="n">
        <v>5.52</v>
      </c>
      <c r="E35" s="417" t="n">
        <v>8.279999999999999</v>
      </c>
      <c r="F35" s="417" t="n">
        <v>11.04</v>
      </c>
      <c r="G35" s="417" t="n">
        <v>16.56</v>
      </c>
      <c r="H35" s="417" t="n">
        <v>22.08</v>
      </c>
    </row>
    <row r="36">
      <c r="A36" s="416" t="inlineStr">
        <is>
          <t>Ajuste</t>
        </is>
      </c>
      <c r="B36" s="416" t="inlineStr">
        <is>
          <t>Banco de Dados</t>
        </is>
      </c>
      <c r="C36" s="416" t="inlineStr">
        <is>
          <t>Script de Carga de Dados (ETL)</t>
        </is>
      </c>
      <c r="D36" s="417" t="n">
        <v>8.279999999999999</v>
      </c>
      <c r="E36" s="417" t="n">
        <v>12.42</v>
      </c>
      <c r="F36" s="417" t="n">
        <v>16.56</v>
      </c>
      <c r="G36" s="417" t="n">
        <v>24.84</v>
      </c>
      <c r="H36" s="417" t="n">
        <v>33.12</v>
      </c>
    </row>
    <row r="37">
      <c r="A37" s="416" t="inlineStr">
        <is>
          <t>Ajuste</t>
        </is>
      </c>
      <c r="B37" s="416" t="inlineStr">
        <is>
          <t>Outros</t>
        </is>
      </c>
      <c r="C37" s="416" t="inlineStr">
        <is>
          <t>Setup de Projeto Base</t>
        </is>
      </c>
      <c r="D37" s="417" t="n">
        <v>11.04</v>
      </c>
      <c r="E37" s="417" t="n">
        <v>16.56</v>
      </c>
      <c r="F37" s="417" t="n">
        <v>22.08</v>
      </c>
      <c r="G37" s="417" t="n">
        <v>33.12</v>
      </c>
      <c r="H37" s="417" t="n">
        <v>44.16</v>
      </c>
    </row>
    <row r="38">
      <c r="A38" s="416" t="inlineStr">
        <is>
          <t>Ajuste</t>
        </is>
      </c>
      <c r="B38" s="416" t="inlineStr">
        <is>
          <t>Outros</t>
        </is>
      </c>
      <c r="C38" s="416" t="inlineStr">
        <is>
          <t>Testes Unitários</t>
        </is>
      </c>
      <c r="D38" s="417" t="n">
        <v>5.52</v>
      </c>
      <c r="E38" s="417" t="n">
        <v>8.279999999999999</v>
      </c>
      <c r="F38" s="417" t="n">
        <v>11.04</v>
      </c>
      <c r="G38" s="417" t="n">
        <v>16.56</v>
      </c>
      <c r="H38" s="417" t="n">
        <v>22.08</v>
      </c>
    </row>
    <row r="39">
      <c r="A39" s="416" t="inlineStr">
        <is>
          <t>Ajuste</t>
        </is>
      </c>
      <c r="B39" s="416" t="inlineStr">
        <is>
          <t>Outros</t>
        </is>
      </c>
      <c r="C39" s="416" t="inlineStr">
        <is>
          <t>Documentação Técnica</t>
        </is>
      </c>
      <c r="D39" s="417" t="n">
        <v>5.52</v>
      </c>
      <c r="E39" s="417" t="n">
        <v>8.279999999999999</v>
      </c>
      <c r="F39" s="417" t="n">
        <v>11.04</v>
      </c>
      <c r="G39" s="417" t="n">
        <v>16.56</v>
      </c>
      <c r="H39" s="417" t="n">
        <v>22.08</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cols>
    <col width="40" customWidth="1" min="1" max="1"/>
    <col width="100" customWidth="1" min="2" max="2"/>
  </cols>
  <sheetData>
    <row r="1">
      <c r="A1" s="415" t="inlineStr">
        <is>
          <t>Componente</t>
        </is>
      </c>
      <c r="B1" s="415" t="inlineStr">
        <is>
          <t>Descrição da Premissa e Escopo</t>
        </is>
      </c>
    </row>
    <row r="2">
      <c r="A2" s="416" t="inlineStr">
        <is>
          <t>Tela de Autenticação / Login</t>
        </is>
      </c>
      <c r="B2" s="418" t="inlineStr">
        <is>
          <t>Desenvolvimento de tela de login com integração a backend de autenticação (ex: JWT/OAuth).</t>
        </is>
      </c>
    </row>
    <row r="3">
      <c r="A3" s="416" t="inlineStr">
        <is>
          <t>Formulário de Cadastro Simples</t>
        </is>
      </c>
      <c r="B3" s="418" t="inlineStr">
        <is>
          <t>CRUD simples com até 5 campos padrão, persistência em BD, validações simples de front-end.</t>
        </is>
      </c>
    </row>
    <row r="4">
      <c r="A4" s="416" t="inlineStr">
        <is>
          <t>Formulário Mestre-Detalhe</t>
        </is>
      </c>
      <c r="B4" s="418" t="inlineStr">
        <is>
          <t>Tela complexa com abas ou listas associadas (ex: Pedido e Itens), com regras de interface dinâmicas.</t>
        </is>
      </c>
    </row>
    <row r="5">
      <c r="A5" s="416" t="inlineStr">
        <is>
          <t>Listagem / Grid</t>
        </is>
      </c>
      <c r="B5" s="418" t="inlineStr">
        <is>
          <t>Grid de dados com suporte a paginação, filtros por pelo menos 3 campos e ordenação de colunas.</t>
        </is>
      </c>
    </row>
    <row r="6">
      <c r="A6" s="416" t="inlineStr">
        <is>
          <t>Dashboard / Relatório Gráfico</t>
        </is>
      </c>
      <c r="B6" s="418" t="inlineStr">
        <is>
          <t>Tela que agrega múltiplos componentes visuais (gráficos de barra, pizza, linhas) baseados em diferentes origens de dados.</t>
        </is>
      </c>
    </row>
    <row r="7">
      <c r="A7" s="416" t="inlineStr">
        <is>
          <t>Componente Visual Customizado</t>
        </is>
      </c>
      <c r="B7" s="418" t="inlineStr">
        <is>
          <t>Criação de widget UI reutilizável que não é nativo da plataforma padrão.</t>
        </is>
      </c>
    </row>
    <row r="8">
      <c r="A8" s="416" t="inlineStr">
        <is>
          <t>Regra de Negócio Simples</t>
        </is>
      </c>
      <c r="B8" s="418" t="inlineStr">
        <is>
          <t>Validação de dados ou cálculo aritmético direto no fluxo da aplicação.</t>
        </is>
      </c>
    </row>
    <row r="9">
      <c r="A9" s="416" t="inlineStr">
        <is>
          <t>Regra de Negócio Complexa</t>
        </is>
      </c>
      <c r="B9" s="418" t="inlineStr">
        <is>
          <t>Processamento estruturado, consolidação de múltiplos modelos de dados ou algoritmo específico.</t>
        </is>
      </c>
    </row>
    <row r="10">
      <c r="A10" s="416" t="inlineStr">
        <is>
          <t>Endpoint de API (CRUD Padrão)</t>
        </is>
      </c>
      <c r="B10" s="418" t="inlineStr">
        <is>
          <t>Criação de rota RESTful para inserção, edição, leitura e deleção de uma entidade específica.</t>
        </is>
      </c>
    </row>
    <row r="11">
      <c r="A11" s="416" t="inlineStr">
        <is>
          <t>Gestão de Perfis / Permissões</t>
        </is>
      </c>
      <c r="B11" s="418" t="inlineStr">
        <is>
          <t>Verificação e bloqueio de funcionalidades baseado em roles e escopos de usuários.</t>
        </is>
      </c>
    </row>
    <row r="12">
      <c r="A12" s="416" t="inlineStr">
        <is>
          <t>Consumo de API Externa (Outbound)</t>
        </is>
      </c>
      <c r="B12" s="418" t="inlineStr">
        <is>
          <t>Integração cliente para consumir sistema de terceiro. Inclui parsing e tratamento de erro.</t>
        </is>
      </c>
    </row>
    <row r="13">
      <c r="A13" s="416" t="inlineStr">
        <is>
          <t>Serviço de Recepção (Inbound)</t>
        </is>
      </c>
      <c r="B13" s="418" t="inlineStr">
        <is>
          <t>Exposição de payload específico para recebimento de dados via webhook ou integração de parceiros.</t>
        </is>
      </c>
    </row>
    <row r="14">
      <c r="A14" s="416" t="inlineStr">
        <is>
          <t>Job / Rotina Assíncrona</t>
        </is>
      </c>
      <c r="B14" s="418" t="inlineStr">
        <is>
          <t>Processamento em background, scheduled tasks ou fila de execução (workers).</t>
        </is>
      </c>
    </row>
    <row r="15">
      <c r="A15" s="416" t="inlineStr">
        <is>
          <t>Modelagem / Entidade Básica</t>
        </is>
      </c>
      <c r="B15" s="418" t="inlineStr">
        <is>
          <t>Definição de tabelas, constraints e relacionamentos.</t>
        </is>
      </c>
    </row>
    <row r="16">
      <c r="A16" s="416" t="inlineStr">
        <is>
          <t>View ou Query Complexa</t>
        </is>
      </c>
      <c r="B16" s="418" t="inlineStr">
        <is>
          <t>Extração otimizada envolvendo múltiplos JOINs, subqueries e agregações.</t>
        </is>
      </c>
    </row>
    <row r="17">
      <c r="A17" s="416" t="inlineStr">
        <is>
          <t>Script de Carga de Dados (ETL)</t>
        </is>
      </c>
      <c r="B17" s="418" t="inlineStr">
        <is>
          <t>Script pontual para migração ou injeção de dados de configuração na inicialização.</t>
        </is>
      </c>
    </row>
    <row r="18">
      <c r="A18" s="416" t="inlineStr">
        <is>
          <t>Setup de Projeto Base</t>
        </is>
      </c>
      <c r="B18" s="418" t="inlineStr">
        <is>
          <t>Configuração inicial, arquitetura, dependências, injeção de dependência e scaffold.</t>
        </is>
      </c>
    </row>
    <row r="19">
      <c r="A19" s="416" t="inlineStr">
        <is>
          <t>Testes Unitários</t>
        </is>
      </c>
      <c r="B19" s="418" t="inlineStr">
        <is>
          <t>Criação de testes automatizados para cobertura dos métodos de negócios do componente em questão.</t>
        </is>
      </c>
    </row>
    <row r="20">
      <c r="A20" s="416" t="inlineStr">
        <is>
          <t>Documentação Técnica</t>
        </is>
      </c>
      <c r="B20" s="418" t="inlineStr">
        <is>
          <t>Elaboração de manual e detalhamento da arquitetura técnica / diagramas.</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39"/>
  <sheetViews>
    <sheetView workbookViewId="0">
      <selection activeCell="A1" sqref="A1"/>
    </sheetView>
  </sheetViews>
  <sheetFormatPr baseColWidth="8" defaultRowHeight="15"/>
  <cols>
    <col width="15" customWidth="1" min="1" max="1"/>
    <col width="20" customWidth="1" min="2" max="2"/>
    <col width="40" customWidth="1" min="3" max="3"/>
    <col width="15" customWidth="1" min="4" max="4"/>
    <col width="15" customWidth="1" min="5" max="5"/>
    <col width="15" customWidth="1" min="6" max="6"/>
    <col width="15" customWidth="1" min="7" max="7"/>
    <col width="15" customWidth="1" min="8" max="8"/>
  </cols>
  <sheetData>
    <row r="1">
      <c r="A1" s="415" t="inlineStr">
        <is>
          <t>Tipo</t>
        </is>
      </c>
      <c r="B1" s="415" t="inlineStr">
        <is>
          <t>Categoria</t>
        </is>
      </c>
      <c r="C1" s="415" t="inlineStr">
        <is>
          <t>Componente</t>
        </is>
      </c>
      <c r="D1" s="415" t="inlineStr">
        <is>
          <t>Muito Baixa</t>
        </is>
      </c>
      <c r="E1" s="415" t="inlineStr">
        <is>
          <t>Baixa</t>
        </is>
      </c>
      <c r="F1" s="415" t="inlineStr">
        <is>
          <t>Média</t>
        </is>
      </c>
      <c r="G1" s="415" t="inlineStr">
        <is>
          <t>Alta</t>
        </is>
      </c>
      <c r="H1" s="415" t="inlineStr">
        <is>
          <t>Muito Alta</t>
        </is>
      </c>
    </row>
    <row r="2">
      <c r="A2" s="416" t="inlineStr">
        <is>
          <t>Novo</t>
        </is>
      </c>
      <c r="B2" s="416" t="inlineStr">
        <is>
          <t>Front-End</t>
        </is>
      </c>
      <c r="C2" s="416" t="inlineStr">
        <is>
          <t>Tela de Autenticação / Login</t>
        </is>
      </c>
      <c r="D2" s="417" t="n">
        <v>9.6</v>
      </c>
      <c r="E2" s="417" t="n">
        <v>14.4</v>
      </c>
      <c r="F2" s="417" t="n">
        <v>19.2</v>
      </c>
      <c r="G2" s="417" t="n">
        <v>28.8</v>
      </c>
      <c r="H2" s="417" t="n">
        <v>38.4</v>
      </c>
    </row>
    <row r="3">
      <c r="A3" s="416" t="inlineStr">
        <is>
          <t>Novo</t>
        </is>
      </c>
      <c r="B3" s="416" t="inlineStr">
        <is>
          <t>Front-End</t>
        </is>
      </c>
      <c r="C3" s="416" t="inlineStr">
        <is>
          <t>Formulário de Cadastro Simples</t>
        </is>
      </c>
      <c r="D3" s="417" t="n">
        <v>14.4</v>
      </c>
      <c r="E3" s="417" t="n">
        <v>21.6</v>
      </c>
      <c r="F3" s="417" t="n">
        <v>28.8</v>
      </c>
      <c r="G3" s="417" t="n">
        <v>43.2</v>
      </c>
      <c r="H3" s="417" t="n">
        <v>57.6</v>
      </c>
    </row>
    <row r="4">
      <c r="A4" s="416" t="inlineStr">
        <is>
          <t>Novo</t>
        </is>
      </c>
      <c r="B4" s="416" t="inlineStr">
        <is>
          <t>Front-End</t>
        </is>
      </c>
      <c r="C4" s="416" t="inlineStr">
        <is>
          <t>Formulário Mestre-Detalhe</t>
        </is>
      </c>
      <c r="D4" s="417" t="n">
        <v>28.8</v>
      </c>
      <c r="E4" s="417" t="n">
        <v>43.2</v>
      </c>
      <c r="F4" s="417" t="n">
        <v>57.6</v>
      </c>
      <c r="G4" s="417" t="n">
        <v>86.40000000000001</v>
      </c>
      <c r="H4" s="417" t="n">
        <v>115.2</v>
      </c>
    </row>
    <row r="5">
      <c r="A5" s="416" t="inlineStr">
        <is>
          <t>Novo</t>
        </is>
      </c>
      <c r="B5" s="416" t="inlineStr">
        <is>
          <t>Front-End</t>
        </is>
      </c>
      <c r="C5" s="416" t="inlineStr">
        <is>
          <t>Listagem / Grid</t>
        </is>
      </c>
      <c r="D5" s="417" t="n">
        <v>9.6</v>
      </c>
      <c r="E5" s="417" t="n">
        <v>14.4</v>
      </c>
      <c r="F5" s="417" t="n">
        <v>19.2</v>
      </c>
      <c r="G5" s="417" t="n">
        <v>28.8</v>
      </c>
      <c r="H5" s="417" t="n">
        <v>38.4</v>
      </c>
    </row>
    <row r="6">
      <c r="A6" s="416" t="inlineStr">
        <is>
          <t>Novo</t>
        </is>
      </c>
      <c r="B6" s="416" t="inlineStr">
        <is>
          <t>Front-End</t>
        </is>
      </c>
      <c r="C6" s="416" t="inlineStr">
        <is>
          <t>Dashboard / Relatório Gráfico</t>
        </is>
      </c>
      <c r="D6" s="417" t="n">
        <v>24</v>
      </c>
      <c r="E6" s="417" t="n">
        <v>36</v>
      </c>
      <c r="F6" s="417" t="n">
        <v>48</v>
      </c>
      <c r="G6" s="417" t="n">
        <v>72</v>
      </c>
      <c r="H6" s="417" t="n">
        <v>96</v>
      </c>
    </row>
    <row r="7">
      <c r="A7" s="416" t="inlineStr">
        <is>
          <t>Novo</t>
        </is>
      </c>
      <c r="B7" s="416" t="inlineStr">
        <is>
          <t>Front-End</t>
        </is>
      </c>
      <c r="C7" s="416" t="inlineStr">
        <is>
          <t>Componente Visual Customizado</t>
        </is>
      </c>
      <c r="D7" s="417" t="n">
        <v>14.4</v>
      </c>
      <c r="E7" s="417" t="n">
        <v>21.6</v>
      </c>
      <c r="F7" s="417" t="n">
        <v>28.8</v>
      </c>
      <c r="G7" s="417" t="n">
        <v>43.2</v>
      </c>
      <c r="H7" s="417" t="n">
        <v>57.6</v>
      </c>
    </row>
    <row r="8">
      <c r="A8" s="416" t="inlineStr">
        <is>
          <t>Novo</t>
        </is>
      </c>
      <c r="B8" s="416" t="inlineStr">
        <is>
          <t>Back-End</t>
        </is>
      </c>
      <c r="C8" s="416" t="inlineStr">
        <is>
          <t>Regra de Negócio Simples</t>
        </is>
      </c>
      <c r="D8" s="417" t="n">
        <v>7.2</v>
      </c>
      <c r="E8" s="417" t="n">
        <v>10.8</v>
      </c>
      <c r="F8" s="417" t="n">
        <v>14.4</v>
      </c>
      <c r="G8" s="417" t="n">
        <v>21.6</v>
      </c>
      <c r="H8" s="417" t="n">
        <v>28.8</v>
      </c>
    </row>
    <row r="9">
      <c r="A9" s="416" t="inlineStr">
        <is>
          <t>Novo</t>
        </is>
      </c>
      <c r="B9" s="416" t="inlineStr">
        <is>
          <t>Back-End</t>
        </is>
      </c>
      <c r="C9" s="416" t="inlineStr">
        <is>
          <t>Regra de Negócio Complexa</t>
        </is>
      </c>
      <c r="D9" s="417" t="n">
        <v>19.2</v>
      </c>
      <c r="E9" s="417" t="n">
        <v>28.8</v>
      </c>
      <c r="F9" s="417" t="n">
        <v>38.4</v>
      </c>
      <c r="G9" s="417" t="n">
        <v>57.6</v>
      </c>
      <c r="H9" s="417" t="n">
        <v>76.8</v>
      </c>
    </row>
    <row r="10">
      <c r="A10" s="416" t="inlineStr">
        <is>
          <t>Novo</t>
        </is>
      </c>
      <c r="B10" s="416" t="inlineStr">
        <is>
          <t>Back-End</t>
        </is>
      </c>
      <c r="C10" s="416" t="inlineStr">
        <is>
          <t>Endpoint de API (CRUD Padrão)</t>
        </is>
      </c>
      <c r="D10" s="417" t="n">
        <v>14.4</v>
      </c>
      <c r="E10" s="417" t="n">
        <v>21.6</v>
      </c>
      <c r="F10" s="417" t="n">
        <v>28.8</v>
      </c>
      <c r="G10" s="417" t="n">
        <v>43.2</v>
      </c>
      <c r="H10" s="417" t="n">
        <v>57.6</v>
      </c>
    </row>
    <row r="11">
      <c r="A11" s="416" t="inlineStr">
        <is>
          <t>Novo</t>
        </is>
      </c>
      <c r="B11" s="416" t="inlineStr">
        <is>
          <t>Back-End</t>
        </is>
      </c>
      <c r="C11" s="416" t="inlineStr">
        <is>
          <t>Gestão de Perfis / Permissões</t>
        </is>
      </c>
      <c r="D11" s="417" t="n">
        <v>9.6</v>
      </c>
      <c r="E11" s="417" t="n">
        <v>14.4</v>
      </c>
      <c r="F11" s="417" t="n">
        <v>19.2</v>
      </c>
      <c r="G11" s="417" t="n">
        <v>28.8</v>
      </c>
      <c r="H11" s="417" t="n">
        <v>38.4</v>
      </c>
    </row>
    <row r="12">
      <c r="A12" s="416" t="inlineStr">
        <is>
          <t>Novo</t>
        </is>
      </c>
      <c r="B12" s="416" t="inlineStr">
        <is>
          <t>Integração</t>
        </is>
      </c>
      <c r="C12" s="416" t="inlineStr">
        <is>
          <t>Consumo de API Externa (Outbound)</t>
        </is>
      </c>
      <c r="D12" s="417" t="n">
        <v>19.2</v>
      </c>
      <c r="E12" s="417" t="n">
        <v>28.8</v>
      </c>
      <c r="F12" s="417" t="n">
        <v>38.4</v>
      </c>
      <c r="G12" s="417" t="n">
        <v>57.6</v>
      </c>
      <c r="H12" s="417" t="n">
        <v>76.8</v>
      </c>
    </row>
    <row r="13">
      <c r="A13" s="416" t="inlineStr">
        <is>
          <t>Novo</t>
        </is>
      </c>
      <c r="B13" s="416" t="inlineStr">
        <is>
          <t>Integração</t>
        </is>
      </c>
      <c r="C13" s="416" t="inlineStr">
        <is>
          <t>Serviço de Recepção (Inbound)</t>
        </is>
      </c>
      <c r="D13" s="417" t="n">
        <v>19.2</v>
      </c>
      <c r="E13" s="417" t="n">
        <v>28.8</v>
      </c>
      <c r="F13" s="417" t="n">
        <v>38.4</v>
      </c>
      <c r="G13" s="417" t="n">
        <v>57.6</v>
      </c>
      <c r="H13" s="417" t="n">
        <v>76.8</v>
      </c>
    </row>
    <row r="14">
      <c r="A14" s="416" t="inlineStr">
        <is>
          <t>Novo</t>
        </is>
      </c>
      <c r="B14" s="416" t="inlineStr">
        <is>
          <t>Integração</t>
        </is>
      </c>
      <c r="C14" s="416" t="inlineStr">
        <is>
          <t>Job / Rotina Assíncrona</t>
        </is>
      </c>
      <c r="D14" s="417" t="n">
        <v>14.4</v>
      </c>
      <c r="E14" s="417" t="n">
        <v>21.6</v>
      </c>
      <c r="F14" s="417" t="n">
        <v>28.8</v>
      </c>
      <c r="G14" s="417" t="n">
        <v>43.2</v>
      </c>
      <c r="H14" s="417" t="n">
        <v>57.6</v>
      </c>
    </row>
    <row r="15">
      <c r="A15" s="416" t="inlineStr">
        <is>
          <t>Novo</t>
        </is>
      </c>
      <c r="B15" s="416" t="inlineStr">
        <is>
          <t>Banco de Dados</t>
        </is>
      </c>
      <c r="C15" s="416" t="inlineStr">
        <is>
          <t>Modelagem / Entidade Básica</t>
        </is>
      </c>
      <c r="D15" s="417" t="n">
        <v>4.8</v>
      </c>
      <c r="E15" s="417" t="n">
        <v>7.2</v>
      </c>
      <c r="F15" s="417" t="n">
        <v>9.6</v>
      </c>
      <c r="G15" s="417" t="n">
        <v>14.4</v>
      </c>
      <c r="H15" s="417" t="n">
        <v>19.2</v>
      </c>
    </row>
    <row r="16">
      <c r="A16" s="416" t="inlineStr">
        <is>
          <t>Novo</t>
        </is>
      </c>
      <c r="B16" s="416" t="inlineStr">
        <is>
          <t>Banco de Dados</t>
        </is>
      </c>
      <c r="C16" s="416" t="inlineStr">
        <is>
          <t>View ou Query Complexa</t>
        </is>
      </c>
      <c r="D16" s="417" t="n">
        <v>9.6</v>
      </c>
      <c r="E16" s="417" t="n">
        <v>14.4</v>
      </c>
      <c r="F16" s="417" t="n">
        <v>19.2</v>
      </c>
      <c r="G16" s="417" t="n">
        <v>28.8</v>
      </c>
      <c r="H16" s="417" t="n">
        <v>38.4</v>
      </c>
    </row>
    <row r="17">
      <c r="A17" s="416" t="inlineStr">
        <is>
          <t>Novo</t>
        </is>
      </c>
      <c r="B17" s="416" t="inlineStr">
        <is>
          <t>Banco de Dados</t>
        </is>
      </c>
      <c r="C17" s="416" t="inlineStr">
        <is>
          <t>Script de Carga de Dados (ETL)</t>
        </is>
      </c>
      <c r="D17" s="417" t="n">
        <v>14.4</v>
      </c>
      <c r="E17" s="417" t="n">
        <v>21.6</v>
      </c>
      <c r="F17" s="417" t="n">
        <v>28.8</v>
      </c>
      <c r="G17" s="417" t="n">
        <v>43.2</v>
      </c>
      <c r="H17" s="417" t="n">
        <v>57.6</v>
      </c>
    </row>
    <row r="18">
      <c r="A18" s="416" t="inlineStr">
        <is>
          <t>Novo</t>
        </is>
      </c>
      <c r="B18" s="416" t="inlineStr">
        <is>
          <t>Outros</t>
        </is>
      </c>
      <c r="C18" s="416" t="inlineStr">
        <is>
          <t>Setup de Projeto Base</t>
        </is>
      </c>
      <c r="D18" s="417" t="n">
        <v>19.2</v>
      </c>
      <c r="E18" s="417" t="n">
        <v>28.8</v>
      </c>
      <c r="F18" s="417" t="n">
        <v>38.4</v>
      </c>
      <c r="G18" s="417" t="n">
        <v>57.6</v>
      </c>
      <c r="H18" s="417" t="n">
        <v>76.8</v>
      </c>
    </row>
    <row r="19">
      <c r="A19" s="416" t="inlineStr">
        <is>
          <t>Novo</t>
        </is>
      </c>
      <c r="B19" s="416" t="inlineStr">
        <is>
          <t>Outros</t>
        </is>
      </c>
      <c r="C19" s="416" t="inlineStr">
        <is>
          <t>Testes Unitários</t>
        </is>
      </c>
      <c r="D19" s="417" t="n">
        <v>9.6</v>
      </c>
      <c r="E19" s="417" t="n">
        <v>14.4</v>
      </c>
      <c r="F19" s="417" t="n">
        <v>19.2</v>
      </c>
      <c r="G19" s="417" t="n">
        <v>28.8</v>
      </c>
      <c r="H19" s="417" t="n">
        <v>38.4</v>
      </c>
    </row>
    <row r="20">
      <c r="A20" s="416" t="inlineStr">
        <is>
          <t>Novo</t>
        </is>
      </c>
      <c r="B20" s="416" t="inlineStr">
        <is>
          <t>Outros</t>
        </is>
      </c>
      <c r="C20" s="416" t="inlineStr">
        <is>
          <t>Documentação Técnica</t>
        </is>
      </c>
      <c r="D20" s="417" t="n">
        <v>9.6</v>
      </c>
      <c r="E20" s="417" t="n">
        <v>14.4</v>
      </c>
      <c r="F20" s="417" t="n">
        <v>19.2</v>
      </c>
      <c r="G20" s="417" t="n">
        <v>28.8</v>
      </c>
      <c r="H20" s="417" t="n">
        <v>38.4</v>
      </c>
    </row>
    <row r="21">
      <c r="A21" s="416" t="inlineStr">
        <is>
          <t>Ajuste</t>
        </is>
      </c>
      <c r="B21" s="416" t="inlineStr">
        <is>
          <t>Front-End</t>
        </is>
      </c>
      <c r="C21" s="416" t="inlineStr">
        <is>
          <t>Tela de Autenticação / Login</t>
        </is>
      </c>
      <c r="D21" s="417" t="n">
        <v>5.76</v>
      </c>
      <c r="E21" s="417" t="n">
        <v>8.640000000000001</v>
      </c>
      <c r="F21" s="417" t="n">
        <v>11.52</v>
      </c>
      <c r="G21" s="417" t="n">
        <v>17.28</v>
      </c>
      <c r="H21" s="417" t="n">
        <v>23.04</v>
      </c>
    </row>
    <row r="22">
      <c r="A22" s="416" t="inlineStr">
        <is>
          <t>Ajuste</t>
        </is>
      </c>
      <c r="B22" s="416" t="inlineStr">
        <is>
          <t>Front-End</t>
        </is>
      </c>
      <c r="C22" s="416" t="inlineStr">
        <is>
          <t>Formulário de Cadastro Simples</t>
        </is>
      </c>
      <c r="D22" s="417" t="n">
        <v>8.640000000000001</v>
      </c>
      <c r="E22" s="417" t="n">
        <v>12.96</v>
      </c>
      <c r="F22" s="417" t="n">
        <v>17.28</v>
      </c>
      <c r="G22" s="417" t="n">
        <v>25.92</v>
      </c>
      <c r="H22" s="417" t="n">
        <v>34.56</v>
      </c>
    </row>
    <row r="23">
      <c r="A23" s="416" t="inlineStr">
        <is>
          <t>Ajuste</t>
        </is>
      </c>
      <c r="B23" s="416" t="inlineStr">
        <is>
          <t>Front-End</t>
        </is>
      </c>
      <c r="C23" s="416" t="inlineStr">
        <is>
          <t>Formulário Mestre-Detalhe</t>
        </is>
      </c>
      <c r="D23" s="417" t="n">
        <v>17.28</v>
      </c>
      <c r="E23" s="417" t="n">
        <v>25.92</v>
      </c>
      <c r="F23" s="417" t="n">
        <v>34.56</v>
      </c>
      <c r="G23" s="417" t="n">
        <v>51.84</v>
      </c>
      <c r="H23" s="417" t="n">
        <v>69.12</v>
      </c>
    </row>
    <row r="24">
      <c r="A24" s="416" t="inlineStr">
        <is>
          <t>Ajuste</t>
        </is>
      </c>
      <c r="B24" s="416" t="inlineStr">
        <is>
          <t>Front-End</t>
        </is>
      </c>
      <c r="C24" s="416" t="inlineStr">
        <is>
          <t>Listagem / Grid</t>
        </is>
      </c>
      <c r="D24" s="417" t="n">
        <v>5.76</v>
      </c>
      <c r="E24" s="417" t="n">
        <v>8.640000000000001</v>
      </c>
      <c r="F24" s="417" t="n">
        <v>11.52</v>
      </c>
      <c r="G24" s="417" t="n">
        <v>17.28</v>
      </c>
      <c r="H24" s="417" t="n">
        <v>23.04</v>
      </c>
    </row>
    <row r="25">
      <c r="A25" s="416" t="inlineStr">
        <is>
          <t>Ajuste</t>
        </is>
      </c>
      <c r="B25" s="416" t="inlineStr">
        <is>
          <t>Front-End</t>
        </is>
      </c>
      <c r="C25" s="416" t="inlineStr">
        <is>
          <t>Dashboard / Relatório Gráfico</t>
        </is>
      </c>
      <c r="D25" s="417" t="n">
        <v>14.4</v>
      </c>
      <c r="E25" s="417" t="n">
        <v>21.6</v>
      </c>
      <c r="F25" s="417" t="n">
        <v>28.8</v>
      </c>
      <c r="G25" s="417" t="n">
        <v>43.2</v>
      </c>
      <c r="H25" s="417" t="n">
        <v>57.6</v>
      </c>
    </row>
    <row r="26">
      <c r="A26" s="416" t="inlineStr">
        <is>
          <t>Ajuste</t>
        </is>
      </c>
      <c r="B26" s="416" t="inlineStr">
        <is>
          <t>Front-End</t>
        </is>
      </c>
      <c r="C26" s="416" t="inlineStr">
        <is>
          <t>Componente Visual Customizado</t>
        </is>
      </c>
      <c r="D26" s="417" t="n">
        <v>8.640000000000001</v>
      </c>
      <c r="E26" s="417" t="n">
        <v>12.96</v>
      </c>
      <c r="F26" s="417" t="n">
        <v>17.28</v>
      </c>
      <c r="G26" s="417" t="n">
        <v>25.92</v>
      </c>
      <c r="H26" s="417" t="n">
        <v>34.56</v>
      </c>
    </row>
    <row r="27">
      <c r="A27" s="416" t="inlineStr">
        <is>
          <t>Ajuste</t>
        </is>
      </c>
      <c r="B27" s="416" t="inlineStr">
        <is>
          <t>Back-End</t>
        </is>
      </c>
      <c r="C27" s="416" t="inlineStr">
        <is>
          <t>Regra de Negócio Simples</t>
        </is>
      </c>
      <c r="D27" s="417" t="n">
        <v>4.32</v>
      </c>
      <c r="E27" s="417" t="n">
        <v>6.48</v>
      </c>
      <c r="F27" s="417" t="n">
        <v>8.640000000000001</v>
      </c>
      <c r="G27" s="417" t="n">
        <v>12.96</v>
      </c>
      <c r="H27" s="417" t="n">
        <v>17.28</v>
      </c>
    </row>
    <row r="28">
      <c r="A28" s="416" t="inlineStr">
        <is>
          <t>Ajuste</t>
        </is>
      </c>
      <c r="B28" s="416" t="inlineStr">
        <is>
          <t>Back-End</t>
        </is>
      </c>
      <c r="C28" s="416" t="inlineStr">
        <is>
          <t>Regra de Negócio Complexa</t>
        </is>
      </c>
      <c r="D28" s="417" t="n">
        <v>11.52</v>
      </c>
      <c r="E28" s="417" t="n">
        <v>17.28</v>
      </c>
      <c r="F28" s="417" t="n">
        <v>23.04</v>
      </c>
      <c r="G28" s="417" t="n">
        <v>34.56</v>
      </c>
      <c r="H28" s="417" t="n">
        <v>46.08</v>
      </c>
    </row>
    <row r="29">
      <c r="A29" s="416" t="inlineStr">
        <is>
          <t>Ajuste</t>
        </is>
      </c>
      <c r="B29" s="416" t="inlineStr">
        <is>
          <t>Back-End</t>
        </is>
      </c>
      <c r="C29" s="416" t="inlineStr">
        <is>
          <t>Endpoint de API (CRUD Padrão)</t>
        </is>
      </c>
      <c r="D29" s="417" t="n">
        <v>8.640000000000001</v>
      </c>
      <c r="E29" s="417" t="n">
        <v>12.96</v>
      </c>
      <c r="F29" s="417" t="n">
        <v>17.28</v>
      </c>
      <c r="G29" s="417" t="n">
        <v>25.92</v>
      </c>
      <c r="H29" s="417" t="n">
        <v>34.56</v>
      </c>
    </row>
    <row r="30">
      <c r="A30" s="416" t="inlineStr">
        <is>
          <t>Ajuste</t>
        </is>
      </c>
      <c r="B30" s="416" t="inlineStr">
        <is>
          <t>Back-End</t>
        </is>
      </c>
      <c r="C30" s="416" t="inlineStr">
        <is>
          <t>Gestão de Perfis / Permissões</t>
        </is>
      </c>
      <c r="D30" s="417" t="n">
        <v>5.76</v>
      </c>
      <c r="E30" s="417" t="n">
        <v>8.640000000000001</v>
      </c>
      <c r="F30" s="417" t="n">
        <v>11.52</v>
      </c>
      <c r="G30" s="417" t="n">
        <v>17.28</v>
      </c>
      <c r="H30" s="417" t="n">
        <v>23.04</v>
      </c>
    </row>
    <row r="31">
      <c r="A31" s="416" t="inlineStr">
        <is>
          <t>Ajuste</t>
        </is>
      </c>
      <c r="B31" s="416" t="inlineStr">
        <is>
          <t>Integração</t>
        </is>
      </c>
      <c r="C31" s="416" t="inlineStr">
        <is>
          <t>Consumo de API Externa (Outbound)</t>
        </is>
      </c>
      <c r="D31" s="417" t="n">
        <v>11.52</v>
      </c>
      <c r="E31" s="417" t="n">
        <v>17.28</v>
      </c>
      <c r="F31" s="417" t="n">
        <v>23.04</v>
      </c>
      <c r="G31" s="417" t="n">
        <v>34.56</v>
      </c>
      <c r="H31" s="417" t="n">
        <v>46.08</v>
      </c>
    </row>
    <row r="32">
      <c r="A32" s="416" t="inlineStr">
        <is>
          <t>Ajuste</t>
        </is>
      </c>
      <c r="B32" s="416" t="inlineStr">
        <is>
          <t>Integração</t>
        </is>
      </c>
      <c r="C32" s="416" t="inlineStr">
        <is>
          <t>Serviço de Recepção (Inbound)</t>
        </is>
      </c>
      <c r="D32" s="417" t="n">
        <v>11.52</v>
      </c>
      <c r="E32" s="417" t="n">
        <v>17.28</v>
      </c>
      <c r="F32" s="417" t="n">
        <v>23.04</v>
      </c>
      <c r="G32" s="417" t="n">
        <v>34.56</v>
      </c>
      <c r="H32" s="417" t="n">
        <v>46.08</v>
      </c>
    </row>
    <row r="33">
      <c r="A33" s="416" t="inlineStr">
        <is>
          <t>Ajuste</t>
        </is>
      </c>
      <c r="B33" s="416" t="inlineStr">
        <is>
          <t>Integração</t>
        </is>
      </c>
      <c r="C33" s="416" t="inlineStr">
        <is>
          <t>Job / Rotina Assíncrona</t>
        </is>
      </c>
      <c r="D33" s="417" t="n">
        <v>8.640000000000001</v>
      </c>
      <c r="E33" s="417" t="n">
        <v>12.96</v>
      </c>
      <c r="F33" s="417" t="n">
        <v>17.28</v>
      </c>
      <c r="G33" s="417" t="n">
        <v>25.92</v>
      </c>
      <c r="H33" s="417" t="n">
        <v>34.56</v>
      </c>
    </row>
    <row r="34">
      <c r="A34" s="416" t="inlineStr">
        <is>
          <t>Ajuste</t>
        </is>
      </c>
      <c r="B34" s="416" t="inlineStr">
        <is>
          <t>Banco de Dados</t>
        </is>
      </c>
      <c r="C34" s="416" t="inlineStr">
        <is>
          <t>Modelagem / Entidade Básica</t>
        </is>
      </c>
      <c r="D34" s="417" t="n">
        <v>2.88</v>
      </c>
      <c r="E34" s="417" t="n">
        <v>4.32</v>
      </c>
      <c r="F34" s="417" t="n">
        <v>5.76</v>
      </c>
      <c r="G34" s="417" t="n">
        <v>8.640000000000001</v>
      </c>
      <c r="H34" s="417" t="n">
        <v>11.52</v>
      </c>
    </row>
    <row r="35">
      <c r="A35" s="416" t="inlineStr">
        <is>
          <t>Ajuste</t>
        </is>
      </c>
      <c r="B35" s="416" t="inlineStr">
        <is>
          <t>Banco de Dados</t>
        </is>
      </c>
      <c r="C35" s="416" t="inlineStr">
        <is>
          <t>View ou Query Complexa</t>
        </is>
      </c>
      <c r="D35" s="417" t="n">
        <v>5.76</v>
      </c>
      <c r="E35" s="417" t="n">
        <v>8.640000000000001</v>
      </c>
      <c r="F35" s="417" t="n">
        <v>11.52</v>
      </c>
      <c r="G35" s="417" t="n">
        <v>17.28</v>
      </c>
      <c r="H35" s="417" t="n">
        <v>23.04</v>
      </c>
    </row>
    <row r="36">
      <c r="A36" s="416" t="inlineStr">
        <is>
          <t>Ajuste</t>
        </is>
      </c>
      <c r="B36" s="416" t="inlineStr">
        <is>
          <t>Banco de Dados</t>
        </is>
      </c>
      <c r="C36" s="416" t="inlineStr">
        <is>
          <t>Script de Carga de Dados (ETL)</t>
        </is>
      </c>
      <c r="D36" s="417" t="n">
        <v>8.640000000000001</v>
      </c>
      <c r="E36" s="417" t="n">
        <v>12.96</v>
      </c>
      <c r="F36" s="417" t="n">
        <v>17.28</v>
      </c>
      <c r="G36" s="417" t="n">
        <v>25.92</v>
      </c>
      <c r="H36" s="417" t="n">
        <v>34.56</v>
      </c>
    </row>
    <row r="37">
      <c r="A37" s="416" t="inlineStr">
        <is>
          <t>Ajuste</t>
        </is>
      </c>
      <c r="B37" s="416" t="inlineStr">
        <is>
          <t>Outros</t>
        </is>
      </c>
      <c r="C37" s="416" t="inlineStr">
        <is>
          <t>Setup de Projeto Base</t>
        </is>
      </c>
      <c r="D37" s="417" t="n">
        <v>11.52</v>
      </c>
      <c r="E37" s="417" t="n">
        <v>17.28</v>
      </c>
      <c r="F37" s="417" t="n">
        <v>23.04</v>
      </c>
      <c r="G37" s="417" t="n">
        <v>34.56</v>
      </c>
      <c r="H37" s="417" t="n">
        <v>46.08</v>
      </c>
    </row>
    <row r="38">
      <c r="A38" s="416" t="inlineStr">
        <is>
          <t>Ajuste</t>
        </is>
      </c>
      <c r="B38" s="416" t="inlineStr">
        <is>
          <t>Outros</t>
        </is>
      </c>
      <c r="C38" s="416" t="inlineStr">
        <is>
          <t>Testes Unitários</t>
        </is>
      </c>
      <c r="D38" s="417" t="n">
        <v>5.76</v>
      </c>
      <c r="E38" s="417" t="n">
        <v>8.640000000000001</v>
      </c>
      <c r="F38" s="417" t="n">
        <v>11.52</v>
      </c>
      <c r="G38" s="417" t="n">
        <v>17.28</v>
      </c>
      <c r="H38" s="417" t="n">
        <v>23.04</v>
      </c>
    </row>
    <row r="39">
      <c r="A39" s="416" t="inlineStr">
        <is>
          <t>Ajuste</t>
        </is>
      </c>
      <c r="B39" s="416" t="inlineStr">
        <is>
          <t>Outros</t>
        </is>
      </c>
      <c r="C39" s="416" t="inlineStr">
        <is>
          <t>Documentação Técnica</t>
        </is>
      </c>
      <c r="D39" s="417" t="n">
        <v>5.76</v>
      </c>
      <c r="E39" s="417" t="n">
        <v>8.640000000000001</v>
      </c>
      <c r="F39" s="417" t="n">
        <v>11.52</v>
      </c>
      <c r="G39" s="417" t="n">
        <v>17.28</v>
      </c>
      <c r="H39" s="417" t="n">
        <v>23.04</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cols>
    <col width="40" customWidth="1" min="1" max="1"/>
    <col width="100" customWidth="1" min="2" max="2"/>
  </cols>
  <sheetData>
    <row r="1">
      <c r="A1" s="415" t="inlineStr">
        <is>
          <t>Componente</t>
        </is>
      </c>
      <c r="B1" s="415" t="inlineStr">
        <is>
          <t>Descrição da Premissa e Escopo</t>
        </is>
      </c>
    </row>
    <row r="2">
      <c r="A2" s="416" t="inlineStr">
        <is>
          <t>Tela de Autenticação / Login</t>
        </is>
      </c>
      <c r="B2" s="418" t="inlineStr">
        <is>
          <t>Desenvolvimento de tela de login com integração a backend de autenticação (ex: JWT/OAuth).</t>
        </is>
      </c>
    </row>
    <row r="3">
      <c r="A3" s="416" t="inlineStr">
        <is>
          <t>Formulário de Cadastro Simples</t>
        </is>
      </c>
      <c r="B3" s="418" t="inlineStr">
        <is>
          <t>CRUD simples com até 5 campos padrão, persistência em BD, validações simples de front-end.</t>
        </is>
      </c>
    </row>
    <row r="4">
      <c r="A4" s="416" t="inlineStr">
        <is>
          <t>Formulário Mestre-Detalhe</t>
        </is>
      </c>
      <c r="B4" s="418" t="inlineStr">
        <is>
          <t>Tela complexa com abas ou listas associadas (ex: Pedido e Itens), com regras de interface dinâmicas.</t>
        </is>
      </c>
    </row>
    <row r="5">
      <c r="A5" s="416" t="inlineStr">
        <is>
          <t>Listagem / Grid</t>
        </is>
      </c>
      <c r="B5" s="418" t="inlineStr">
        <is>
          <t>Grid de dados com suporte a paginação, filtros por pelo menos 3 campos e ordenação de colunas.</t>
        </is>
      </c>
    </row>
    <row r="6">
      <c r="A6" s="416" t="inlineStr">
        <is>
          <t>Dashboard / Relatório Gráfico</t>
        </is>
      </c>
      <c r="B6" s="418" t="inlineStr">
        <is>
          <t>Tela que agrega múltiplos componentes visuais (gráficos de barra, pizza, linhas) baseados em diferentes origens de dados.</t>
        </is>
      </c>
    </row>
    <row r="7">
      <c r="A7" s="416" t="inlineStr">
        <is>
          <t>Componente Visual Customizado</t>
        </is>
      </c>
      <c r="B7" s="418" t="inlineStr">
        <is>
          <t>Criação de widget UI reutilizável que não é nativo da plataforma padrão.</t>
        </is>
      </c>
    </row>
    <row r="8">
      <c r="A8" s="416" t="inlineStr">
        <is>
          <t>Regra de Negócio Simples</t>
        </is>
      </c>
      <c r="B8" s="418" t="inlineStr">
        <is>
          <t>Validação de dados ou cálculo aritmético direto no fluxo da aplicação.</t>
        </is>
      </c>
    </row>
    <row r="9">
      <c r="A9" s="416" t="inlineStr">
        <is>
          <t>Regra de Negócio Complexa</t>
        </is>
      </c>
      <c r="B9" s="418" t="inlineStr">
        <is>
          <t>Processamento estruturado, consolidação de múltiplos modelos de dados ou algoritmo específico.</t>
        </is>
      </c>
    </row>
    <row r="10">
      <c r="A10" s="416" t="inlineStr">
        <is>
          <t>Endpoint de API (CRUD Padrão)</t>
        </is>
      </c>
      <c r="B10" s="418" t="inlineStr">
        <is>
          <t>Criação de rota RESTful para inserção, edição, leitura e deleção de uma entidade específica.</t>
        </is>
      </c>
    </row>
    <row r="11">
      <c r="A11" s="416" t="inlineStr">
        <is>
          <t>Gestão de Perfis / Permissões</t>
        </is>
      </c>
      <c r="B11" s="418" t="inlineStr">
        <is>
          <t>Verificação e bloqueio de funcionalidades baseado em roles e escopos de usuários.</t>
        </is>
      </c>
    </row>
    <row r="12">
      <c r="A12" s="416" t="inlineStr">
        <is>
          <t>Consumo de API Externa (Outbound)</t>
        </is>
      </c>
      <c r="B12" s="418" t="inlineStr">
        <is>
          <t>Integração cliente para consumir sistema de terceiro. Inclui parsing e tratamento de erro.</t>
        </is>
      </c>
    </row>
    <row r="13">
      <c r="A13" s="416" t="inlineStr">
        <is>
          <t>Serviço de Recepção (Inbound)</t>
        </is>
      </c>
      <c r="B13" s="418" t="inlineStr">
        <is>
          <t>Exposição de payload específico para recebimento de dados via webhook ou integração de parceiros.</t>
        </is>
      </c>
    </row>
    <row r="14">
      <c r="A14" s="416" t="inlineStr">
        <is>
          <t>Job / Rotina Assíncrona</t>
        </is>
      </c>
      <c r="B14" s="418" t="inlineStr">
        <is>
          <t>Processamento em background, scheduled tasks ou fila de execução (workers).</t>
        </is>
      </c>
    </row>
    <row r="15">
      <c r="A15" s="416" t="inlineStr">
        <is>
          <t>Modelagem / Entidade Básica</t>
        </is>
      </c>
      <c r="B15" s="418" t="inlineStr">
        <is>
          <t>Definição de tabelas, constraints e relacionamentos.</t>
        </is>
      </c>
    </row>
    <row r="16">
      <c r="A16" s="416" t="inlineStr">
        <is>
          <t>View ou Query Complexa</t>
        </is>
      </c>
      <c r="B16" s="418" t="inlineStr">
        <is>
          <t>Extração otimizada envolvendo múltiplos JOINs, subqueries e agregações.</t>
        </is>
      </c>
    </row>
    <row r="17">
      <c r="A17" s="416" t="inlineStr">
        <is>
          <t>Script de Carga de Dados (ETL)</t>
        </is>
      </c>
      <c r="B17" s="418" t="inlineStr">
        <is>
          <t>Script pontual para migração ou injeção de dados de configuração na inicialização.</t>
        </is>
      </c>
    </row>
    <row r="18">
      <c r="A18" s="416" t="inlineStr">
        <is>
          <t>Setup de Projeto Base</t>
        </is>
      </c>
      <c r="B18" s="418" t="inlineStr">
        <is>
          <t>Configuração inicial, arquitetura, dependências, injeção de dependência e scaffold.</t>
        </is>
      </c>
    </row>
    <row r="19">
      <c r="A19" s="416" t="inlineStr">
        <is>
          <t>Testes Unitários</t>
        </is>
      </c>
      <c r="B19" s="418" t="inlineStr">
        <is>
          <t>Criação de testes automatizados para cobertura dos métodos de negócios do componente em questão.</t>
        </is>
      </c>
    </row>
    <row r="20">
      <c r="A20" s="416" t="inlineStr">
        <is>
          <t>Documentação Técnica</t>
        </is>
      </c>
      <c r="B20" s="418" t="inlineStr">
        <is>
          <t>Elaboração de manual e detalhamento da arquitetura técnica / diagramas.</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H39"/>
  <sheetViews>
    <sheetView workbookViewId="0">
      <selection activeCell="A1" sqref="A1"/>
    </sheetView>
  </sheetViews>
  <sheetFormatPr baseColWidth="8" defaultRowHeight="15"/>
  <cols>
    <col width="15" customWidth="1" min="1" max="1"/>
    <col width="20" customWidth="1" min="2" max="2"/>
    <col width="40" customWidth="1" min="3" max="3"/>
    <col width="15" customWidth="1" min="4" max="4"/>
    <col width="15" customWidth="1" min="5" max="5"/>
    <col width="15" customWidth="1" min="6" max="6"/>
    <col width="15" customWidth="1" min="7" max="7"/>
    <col width="15" customWidth="1" min="8" max="8"/>
  </cols>
  <sheetData>
    <row r="1">
      <c r="A1" s="415" t="inlineStr">
        <is>
          <t>Tipo</t>
        </is>
      </c>
      <c r="B1" s="415" t="inlineStr">
        <is>
          <t>Categoria</t>
        </is>
      </c>
      <c r="C1" s="415" t="inlineStr">
        <is>
          <t>Componente</t>
        </is>
      </c>
      <c r="D1" s="415" t="inlineStr">
        <is>
          <t>Muito Baixa</t>
        </is>
      </c>
      <c r="E1" s="415" t="inlineStr">
        <is>
          <t>Baixa</t>
        </is>
      </c>
      <c r="F1" s="415" t="inlineStr">
        <is>
          <t>Média</t>
        </is>
      </c>
      <c r="G1" s="415" t="inlineStr">
        <is>
          <t>Alta</t>
        </is>
      </c>
      <c r="H1" s="415" t="inlineStr">
        <is>
          <t>Muito Alta</t>
        </is>
      </c>
    </row>
    <row r="2">
      <c r="A2" s="416" t="inlineStr">
        <is>
          <t>Novo</t>
        </is>
      </c>
      <c r="B2" s="416" t="inlineStr">
        <is>
          <t>Front-End</t>
        </is>
      </c>
      <c r="C2" s="416" t="inlineStr">
        <is>
          <t>Tela de Autenticação / Login</t>
        </is>
      </c>
      <c r="D2" s="417" t="n">
        <v>8</v>
      </c>
      <c r="E2" s="417" t="n">
        <v>12</v>
      </c>
      <c r="F2" s="417" t="n">
        <v>16</v>
      </c>
      <c r="G2" s="417" t="n">
        <v>24</v>
      </c>
      <c r="H2" s="417" t="n">
        <v>32</v>
      </c>
    </row>
    <row r="3">
      <c r="A3" s="416" t="inlineStr">
        <is>
          <t>Novo</t>
        </is>
      </c>
      <c r="B3" s="416" t="inlineStr">
        <is>
          <t>Front-End</t>
        </is>
      </c>
      <c r="C3" s="416" t="inlineStr">
        <is>
          <t>Formulário de Cadastro Simples</t>
        </is>
      </c>
      <c r="D3" s="417" t="n">
        <v>12</v>
      </c>
      <c r="E3" s="417" t="n">
        <v>18</v>
      </c>
      <c r="F3" s="417" t="n">
        <v>24</v>
      </c>
      <c r="G3" s="417" t="n">
        <v>36</v>
      </c>
      <c r="H3" s="417" t="n">
        <v>48</v>
      </c>
    </row>
    <row r="4">
      <c r="A4" s="416" t="inlineStr">
        <is>
          <t>Novo</t>
        </is>
      </c>
      <c r="B4" s="416" t="inlineStr">
        <is>
          <t>Front-End</t>
        </is>
      </c>
      <c r="C4" s="416" t="inlineStr">
        <is>
          <t>Formulário Mestre-Detalhe</t>
        </is>
      </c>
      <c r="D4" s="417" t="n">
        <v>24</v>
      </c>
      <c r="E4" s="417" t="n">
        <v>36</v>
      </c>
      <c r="F4" s="417" t="n">
        <v>48</v>
      </c>
      <c r="G4" s="417" t="n">
        <v>72</v>
      </c>
      <c r="H4" s="417" t="n">
        <v>96</v>
      </c>
    </row>
    <row r="5">
      <c r="A5" s="416" t="inlineStr">
        <is>
          <t>Novo</t>
        </is>
      </c>
      <c r="B5" s="416" t="inlineStr">
        <is>
          <t>Front-End</t>
        </is>
      </c>
      <c r="C5" s="416" t="inlineStr">
        <is>
          <t>Listagem / Grid</t>
        </is>
      </c>
      <c r="D5" s="417" t="n">
        <v>8</v>
      </c>
      <c r="E5" s="417" t="n">
        <v>12</v>
      </c>
      <c r="F5" s="417" t="n">
        <v>16</v>
      </c>
      <c r="G5" s="417" t="n">
        <v>24</v>
      </c>
      <c r="H5" s="417" t="n">
        <v>32</v>
      </c>
    </row>
    <row r="6">
      <c r="A6" s="416" t="inlineStr">
        <is>
          <t>Novo</t>
        </is>
      </c>
      <c r="B6" s="416" t="inlineStr">
        <is>
          <t>Front-End</t>
        </is>
      </c>
      <c r="C6" s="416" t="inlineStr">
        <is>
          <t>Dashboard / Relatório Gráfico</t>
        </is>
      </c>
      <c r="D6" s="417" t="n">
        <v>20</v>
      </c>
      <c r="E6" s="417" t="n">
        <v>30</v>
      </c>
      <c r="F6" s="417" t="n">
        <v>40</v>
      </c>
      <c r="G6" s="417" t="n">
        <v>60</v>
      </c>
      <c r="H6" s="417" t="n">
        <v>80</v>
      </c>
    </row>
    <row r="7">
      <c r="A7" s="416" t="inlineStr">
        <is>
          <t>Novo</t>
        </is>
      </c>
      <c r="B7" s="416" t="inlineStr">
        <is>
          <t>Front-End</t>
        </is>
      </c>
      <c r="C7" s="416" t="inlineStr">
        <is>
          <t>Componente Visual Customizado</t>
        </is>
      </c>
      <c r="D7" s="417" t="n">
        <v>12</v>
      </c>
      <c r="E7" s="417" t="n">
        <v>18</v>
      </c>
      <c r="F7" s="417" t="n">
        <v>24</v>
      </c>
      <c r="G7" s="417" t="n">
        <v>36</v>
      </c>
      <c r="H7" s="417" t="n">
        <v>48</v>
      </c>
    </row>
    <row r="8">
      <c r="A8" s="416" t="inlineStr">
        <is>
          <t>Novo</t>
        </is>
      </c>
      <c r="B8" s="416" t="inlineStr">
        <is>
          <t>Back-End</t>
        </is>
      </c>
      <c r="C8" s="416" t="inlineStr">
        <is>
          <t>Regra de Negócio Simples</t>
        </is>
      </c>
      <c r="D8" s="417" t="n">
        <v>6</v>
      </c>
      <c r="E8" s="417" t="n">
        <v>9</v>
      </c>
      <c r="F8" s="417" t="n">
        <v>12</v>
      </c>
      <c r="G8" s="417" t="n">
        <v>18</v>
      </c>
      <c r="H8" s="417" t="n">
        <v>24</v>
      </c>
    </row>
    <row r="9">
      <c r="A9" s="416" t="inlineStr">
        <is>
          <t>Novo</t>
        </is>
      </c>
      <c r="B9" s="416" t="inlineStr">
        <is>
          <t>Back-End</t>
        </is>
      </c>
      <c r="C9" s="416" t="inlineStr">
        <is>
          <t>Regra de Negócio Complexa</t>
        </is>
      </c>
      <c r="D9" s="417" t="n">
        <v>16</v>
      </c>
      <c r="E9" s="417" t="n">
        <v>24</v>
      </c>
      <c r="F9" s="417" t="n">
        <v>32</v>
      </c>
      <c r="G9" s="417" t="n">
        <v>48</v>
      </c>
      <c r="H9" s="417" t="n">
        <v>64</v>
      </c>
    </row>
    <row r="10">
      <c r="A10" s="416" t="inlineStr">
        <is>
          <t>Novo</t>
        </is>
      </c>
      <c r="B10" s="416" t="inlineStr">
        <is>
          <t>Back-End</t>
        </is>
      </c>
      <c r="C10" s="416" t="inlineStr">
        <is>
          <t>Endpoint de API (CRUD Padrão)</t>
        </is>
      </c>
      <c r="D10" s="417" t="n">
        <v>12</v>
      </c>
      <c r="E10" s="417" t="n">
        <v>18</v>
      </c>
      <c r="F10" s="417" t="n">
        <v>24</v>
      </c>
      <c r="G10" s="417" t="n">
        <v>36</v>
      </c>
      <c r="H10" s="417" t="n">
        <v>48</v>
      </c>
    </row>
    <row r="11">
      <c r="A11" s="416" t="inlineStr">
        <is>
          <t>Novo</t>
        </is>
      </c>
      <c r="B11" s="416" t="inlineStr">
        <is>
          <t>Back-End</t>
        </is>
      </c>
      <c r="C11" s="416" t="inlineStr">
        <is>
          <t>Gestão de Perfis / Permissões</t>
        </is>
      </c>
      <c r="D11" s="417" t="n">
        <v>8</v>
      </c>
      <c r="E11" s="417" t="n">
        <v>12</v>
      </c>
      <c r="F11" s="417" t="n">
        <v>16</v>
      </c>
      <c r="G11" s="417" t="n">
        <v>24</v>
      </c>
      <c r="H11" s="417" t="n">
        <v>32</v>
      </c>
    </row>
    <row r="12">
      <c r="A12" s="416" t="inlineStr">
        <is>
          <t>Novo</t>
        </is>
      </c>
      <c r="B12" s="416" t="inlineStr">
        <is>
          <t>Integração</t>
        </is>
      </c>
      <c r="C12" s="416" t="inlineStr">
        <is>
          <t>Consumo de API Externa (Outbound)</t>
        </is>
      </c>
      <c r="D12" s="417" t="n">
        <v>16</v>
      </c>
      <c r="E12" s="417" t="n">
        <v>24</v>
      </c>
      <c r="F12" s="417" t="n">
        <v>32</v>
      </c>
      <c r="G12" s="417" t="n">
        <v>48</v>
      </c>
      <c r="H12" s="417" t="n">
        <v>64</v>
      </c>
    </row>
    <row r="13">
      <c r="A13" s="416" t="inlineStr">
        <is>
          <t>Novo</t>
        </is>
      </c>
      <c r="B13" s="416" t="inlineStr">
        <is>
          <t>Integração</t>
        </is>
      </c>
      <c r="C13" s="416" t="inlineStr">
        <is>
          <t>Serviço de Recepção (Inbound)</t>
        </is>
      </c>
      <c r="D13" s="417" t="n">
        <v>16</v>
      </c>
      <c r="E13" s="417" t="n">
        <v>24</v>
      </c>
      <c r="F13" s="417" t="n">
        <v>32</v>
      </c>
      <c r="G13" s="417" t="n">
        <v>48</v>
      </c>
      <c r="H13" s="417" t="n">
        <v>64</v>
      </c>
    </row>
    <row r="14">
      <c r="A14" s="416" t="inlineStr">
        <is>
          <t>Novo</t>
        </is>
      </c>
      <c r="B14" s="416" t="inlineStr">
        <is>
          <t>Integração</t>
        </is>
      </c>
      <c r="C14" s="416" t="inlineStr">
        <is>
          <t>Job / Rotina Assíncrona</t>
        </is>
      </c>
      <c r="D14" s="417" t="n">
        <v>12</v>
      </c>
      <c r="E14" s="417" t="n">
        <v>18</v>
      </c>
      <c r="F14" s="417" t="n">
        <v>24</v>
      </c>
      <c r="G14" s="417" t="n">
        <v>36</v>
      </c>
      <c r="H14" s="417" t="n">
        <v>48</v>
      </c>
    </row>
    <row r="15">
      <c r="A15" s="416" t="inlineStr">
        <is>
          <t>Novo</t>
        </is>
      </c>
      <c r="B15" s="416" t="inlineStr">
        <is>
          <t>Banco de Dados</t>
        </is>
      </c>
      <c r="C15" s="416" t="inlineStr">
        <is>
          <t>Modelagem / Entidade Básica</t>
        </is>
      </c>
      <c r="D15" s="417" t="n">
        <v>4</v>
      </c>
      <c r="E15" s="417" t="n">
        <v>6</v>
      </c>
      <c r="F15" s="417" t="n">
        <v>8</v>
      </c>
      <c r="G15" s="417" t="n">
        <v>12</v>
      </c>
      <c r="H15" s="417" t="n">
        <v>16</v>
      </c>
    </row>
    <row r="16">
      <c r="A16" s="416" t="inlineStr">
        <is>
          <t>Novo</t>
        </is>
      </c>
      <c r="B16" s="416" t="inlineStr">
        <is>
          <t>Banco de Dados</t>
        </is>
      </c>
      <c r="C16" s="416" t="inlineStr">
        <is>
          <t>View ou Query Complexa</t>
        </is>
      </c>
      <c r="D16" s="417" t="n">
        <v>8</v>
      </c>
      <c r="E16" s="417" t="n">
        <v>12</v>
      </c>
      <c r="F16" s="417" t="n">
        <v>16</v>
      </c>
      <c r="G16" s="417" t="n">
        <v>24</v>
      </c>
      <c r="H16" s="417" t="n">
        <v>32</v>
      </c>
    </row>
    <row r="17">
      <c r="A17" s="416" t="inlineStr">
        <is>
          <t>Novo</t>
        </is>
      </c>
      <c r="B17" s="416" t="inlineStr">
        <is>
          <t>Banco de Dados</t>
        </is>
      </c>
      <c r="C17" s="416" t="inlineStr">
        <is>
          <t>Script de Carga de Dados (ETL)</t>
        </is>
      </c>
      <c r="D17" s="417" t="n">
        <v>12</v>
      </c>
      <c r="E17" s="417" t="n">
        <v>18</v>
      </c>
      <c r="F17" s="417" t="n">
        <v>24</v>
      </c>
      <c r="G17" s="417" t="n">
        <v>36</v>
      </c>
      <c r="H17" s="417" t="n">
        <v>48</v>
      </c>
    </row>
    <row r="18">
      <c r="A18" s="416" t="inlineStr">
        <is>
          <t>Novo</t>
        </is>
      </c>
      <c r="B18" s="416" t="inlineStr">
        <is>
          <t>Outros</t>
        </is>
      </c>
      <c r="C18" s="416" t="inlineStr">
        <is>
          <t>Setup de Projeto Base</t>
        </is>
      </c>
      <c r="D18" s="417" t="n">
        <v>16</v>
      </c>
      <c r="E18" s="417" t="n">
        <v>24</v>
      </c>
      <c r="F18" s="417" t="n">
        <v>32</v>
      </c>
      <c r="G18" s="417" t="n">
        <v>48</v>
      </c>
      <c r="H18" s="417" t="n">
        <v>64</v>
      </c>
    </row>
    <row r="19">
      <c r="A19" s="416" t="inlineStr">
        <is>
          <t>Novo</t>
        </is>
      </c>
      <c r="B19" s="416" t="inlineStr">
        <is>
          <t>Outros</t>
        </is>
      </c>
      <c r="C19" s="416" t="inlineStr">
        <is>
          <t>Testes Unitários</t>
        </is>
      </c>
      <c r="D19" s="417" t="n">
        <v>8</v>
      </c>
      <c r="E19" s="417" t="n">
        <v>12</v>
      </c>
      <c r="F19" s="417" t="n">
        <v>16</v>
      </c>
      <c r="G19" s="417" t="n">
        <v>24</v>
      </c>
      <c r="H19" s="417" t="n">
        <v>32</v>
      </c>
    </row>
    <row r="20">
      <c r="A20" s="416" t="inlineStr">
        <is>
          <t>Novo</t>
        </is>
      </c>
      <c r="B20" s="416" t="inlineStr">
        <is>
          <t>Outros</t>
        </is>
      </c>
      <c r="C20" s="416" t="inlineStr">
        <is>
          <t>Documentação Técnica</t>
        </is>
      </c>
      <c r="D20" s="417" t="n">
        <v>8</v>
      </c>
      <c r="E20" s="417" t="n">
        <v>12</v>
      </c>
      <c r="F20" s="417" t="n">
        <v>16</v>
      </c>
      <c r="G20" s="417" t="n">
        <v>24</v>
      </c>
      <c r="H20" s="417" t="n">
        <v>32</v>
      </c>
    </row>
    <row r="21">
      <c r="A21" s="416" t="inlineStr">
        <is>
          <t>Ajuste</t>
        </is>
      </c>
      <c r="B21" s="416" t="inlineStr">
        <is>
          <t>Front-End</t>
        </is>
      </c>
      <c r="C21" s="416" t="inlineStr">
        <is>
          <t>Tela de Autenticação / Login</t>
        </is>
      </c>
      <c r="D21" s="417" t="n">
        <v>4.8</v>
      </c>
      <c r="E21" s="417" t="n">
        <v>7.2</v>
      </c>
      <c r="F21" s="417" t="n">
        <v>9.6</v>
      </c>
      <c r="G21" s="417" t="n">
        <v>14.4</v>
      </c>
      <c r="H21" s="417" t="n">
        <v>19.2</v>
      </c>
    </row>
    <row r="22">
      <c r="A22" s="416" t="inlineStr">
        <is>
          <t>Ajuste</t>
        </is>
      </c>
      <c r="B22" s="416" t="inlineStr">
        <is>
          <t>Front-End</t>
        </is>
      </c>
      <c r="C22" s="416" t="inlineStr">
        <is>
          <t>Formulário de Cadastro Simples</t>
        </is>
      </c>
      <c r="D22" s="417" t="n">
        <v>7.2</v>
      </c>
      <c r="E22" s="417" t="n">
        <v>10.8</v>
      </c>
      <c r="F22" s="417" t="n">
        <v>14.4</v>
      </c>
      <c r="G22" s="417" t="n">
        <v>21.6</v>
      </c>
      <c r="H22" s="417" t="n">
        <v>28.8</v>
      </c>
    </row>
    <row r="23">
      <c r="A23" s="416" t="inlineStr">
        <is>
          <t>Ajuste</t>
        </is>
      </c>
      <c r="B23" s="416" t="inlineStr">
        <is>
          <t>Front-End</t>
        </is>
      </c>
      <c r="C23" s="416" t="inlineStr">
        <is>
          <t>Formulário Mestre-Detalhe</t>
        </is>
      </c>
      <c r="D23" s="417" t="n">
        <v>14.4</v>
      </c>
      <c r="E23" s="417" t="n">
        <v>21.6</v>
      </c>
      <c r="F23" s="417" t="n">
        <v>28.8</v>
      </c>
      <c r="G23" s="417" t="n">
        <v>43.2</v>
      </c>
      <c r="H23" s="417" t="n">
        <v>57.6</v>
      </c>
    </row>
    <row r="24">
      <c r="A24" s="416" t="inlineStr">
        <is>
          <t>Ajuste</t>
        </is>
      </c>
      <c r="B24" s="416" t="inlineStr">
        <is>
          <t>Front-End</t>
        </is>
      </c>
      <c r="C24" s="416" t="inlineStr">
        <is>
          <t>Listagem / Grid</t>
        </is>
      </c>
      <c r="D24" s="417" t="n">
        <v>4.8</v>
      </c>
      <c r="E24" s="417" t="n">
        <v>7.2</v>
      </c>
      <c r="F24" s="417" t="n">
        <v>9.6</v>
      </c>
      <c r="G24" s="417" t="n">
        <v>14.4</v>
      </c>
      <c r="H24" s="417" t="n">
        <v>19.2</v>
      </c>
    </row>
    <row r="25">
      <c r="A25" s="416" t="inlineStr">
        <is>
          <t>Ajuste</t>
        </is>
      </c>
      <c r="B25" s="416" t="inlineStr">
        <is>
          <t>Front-End</t>
        </is>
      </c>
      <c r="C25" s="416" t="inlineStr">
        <is>
          <t>Dashboard / Relatório Gráfico</t>
        </is>
      </c>
      <c r="D25" s="417" t="n">
        <v>12</v>
      </c>
      <c r="E25" s="417" t="n">
        <v>18</v>
      </c>
      <c r="F25" s="417" t="n">
        <v>24</v>
      </c>
      <c r="G25" s="417" t="n">
        <v>36</v>
      </c>
      <c r="H25" s="417" t="n">
        <v>48</v>
      </c>
    </row>
    <row r="26">
      <c r="A26" s="416" t="inlineStr">
        <is>
          <t>Ajuste</t>
        </is>
      </c>
      <c r="B26" s="416" t="inlineStr">
        <is>
          <t>Front-End</t>
        </is>
      </c>
      <c r="C26" s="416" t="inlineStr">
        <is>
          <t>Componente Visual Customizado</t>
        </is>
      </c>
      <c r="D26" s="417" t="n">
        <v>7.2</v>
      </c>
      <c r="E26" s="417" t="n">
        <v>10.8</v>
      </c>
      <c r="F26" s="417" t="n">
        <v>14.4</v>
      </c>
      <c r="G26" s="417" t="n">
        <v>21.6</v>
      </c>
      <c r="H26" s="417" t="n">
        <v>28.8</v>
      </c>
    </row>
    <row r="27">
      <c r="A27" s="416" t="inlineStr">
        <is>
          <t>Ajuste</t>
        </is>
      </c>
      <c r="B27" s="416" t="inlineStr">
        <is>
          <t>Back-End</t>
        </is>
      </c>
      <c r="C27" s="416" t="inlineStr">
        <is>
          <t>Regra de Negócio Simples</t>
        </is>
      </c>
      <c r="D27" s="417" t="n">
        <v>3.6</v>
      </c>
      <c r="E27" s="417" t="n">
        <v>5.4</v>
      </c>
      <c r="F27" s="417" t="n">
        <v>7.2</v>
      </c>
      <c r="G27" s="417" t="n">
        <v>10.8</v>
      </c>
      <c r="H27" s="417" t="n">
        <v>14.4</v>
      </c>
    </row>
    <row r="28">
      <c r="A28" s="416" t="inlineStr">
        <is>
          <t>Ajuste</t>
        </is>
      </c>
      <c r="B28" s="416" t="inlineStr">
        <is>
          <t>Back-End</t>
        </is>
      </c>
      <c r="C28" s="416" t="inlineStr">
        <is>
          <t>Regra de Negócio Complexa</t>
        </is>
      </c>
      <c r="D28" s="417" t="n">
        <v>9.6</v>
      </c>
      <c r="E28" s="417" t="n">
        <v>14.4</v>
      </c>
      <c r="F28" s="417" t="n">
        <v>19.2</v>
      </c>
      <c r="G28" s="417" t="n">
        <v>28.8</v>
      </c>
      <c r="H28" s="417" t="n">
        <v>38.4</v>
      </c>
    </row>
    <row r="29">
      <c r="A29" s="416" t="inlineStr">
        <is>
          <t>Ajuste</t>
        </is>
      </c>
      <c r="B29" s="416" t="inlineStr">
        <is>
          <t>Back-End</t>
        </is>
      </c>
      <c r="C29" s="416" t="inlineStr">
        <is>
          <t>Endpoint de API (CRUD Padrão)</t>
        </is>
      </c>
      <c r="D29" s="417" t="n">
        <v>7.2</v>
      </c>
      <c r="E29" s="417" t="n">
        <v>10.8</v>
      </c>
      <c r="F29" s="417" t="n">
        <v>14.4</v>
      </c>
      <c r="G29" s="417" t="n">
        <v>21.6</v>
      </c>
      <c r="H29" s="417" t="n">
        <v>28.8</v>
      </c>
    </row>
    <row r="30">
      <c r="A30" s="416" t="inlineStr">
        <is>
          <t>Ajuste</t>
        </is>
      </c>
      <c r="B30" s="416" t="inlineStr">
        <is>
          <t>Back-End</t>
        </is>
      </c>
      <c r="C30" s="416" t="inlineStr">
        <is>
          <t>Gestão de Perfis / Permissões</t>
        </is>
      </c>
      <c r="D30" s="417" t="n">
        <v>4.8</v>
      </c>
      <c r="E30" s="417" t="n">
        <v>7.2</v>
      </c>
      <c r="F30" s="417" t="n">
        <v>9.6</v>
      </c>
      <c r="G30" s="417" t="n">
        <v>14.4</v>
      </c>
      <c r="H30" s="417" t="n">
        <v>19.2</v>
      </c>
    </row>
    <row r="31">
      <c r="A31" s="416" t="inlineStr">
        <is>
          <t>Ajuste</t>
        </is>
      </c>
      <c r="B31" s="416" t="inlineStr">
        <is>
          <t>Integração</t>
        </is>
      </c>
      <c r="C31" s="416" t="inlineStr">
        <is>
          <t>Consumo de API Externa (Outbound)</t>
        </is>
      </c>
      <c r="D31" s="417" t="n">
        <v>9.6</v>
      </c>
      <c r="E31" s="417" t="n">
        <v>14.4</v>
      </c>
      <c r="F31" s="417" t="n">
        <v>19.2</v>
      </c>
      <c r="G31" s="417" t="n">
        <v>28.8</v>
      </c>
      <c r="H31" s="417" t="n">
        <v>38.4</v>
      </c>
    </row>
    <row r="32">
      <c r="A32" s="416" t="inlineStr">
        <is>
          <t>Ajuste</t>
        </is>
      </c>
      <c r="B32" s="416" t="inlineStr">
        <is>
          <t>Integração</t>
        </is>
      </c>
      <c r="C32" s="416" t="inlineStr">
        <is>
          <t>Serviço de Recepção (Inbound)</t>
        </is>
      </c>
      <c r="D32" s="417" t="n">
        <v>9.6</v>
      </c>
      <c r="E32" s="417" t="n">
        <v>14.4</v>
      </c>
      <c r="F32" s="417" t="n">
        <v>19.2</v>
      </c>
      <c r="G32" s="417" t="n">
        <v>28.8</v>
      </c>
      <c r="H32" s="417" t="n">
        <v>38.4</v>
      </c>
    </row>
    <row r="33">
      <c r="A33" s="416" t="inlineStr">
        <is>
          <t>Ajuste</t>
        </is>
      </c>
      <c r="B33" s="416" t="inlineStr">
        <is>
          <t>Integração</t>
        </is>
      </c>
      <c r="C33" s="416" t="inlineStr">
        <is>
          <t>Job / Rotina Assíncrona</t>
        </is>
      </c>
      <c r="D33" s="417" t="n">
        <v>7.2</v>
      </c>
      <c r="E33" s="417" t="n">
        <v>10.8</v>
      </c>
      <c r="F33" s="417" t="n">
        <v>14.4</v>
      </c>
      <c r="G33" s="417" t="n">
        <v>21.6</v>
      </c>
      <c r="H33" s="417" t="n">
        <v>28.8</v>
      </c>
    </row>
    <row r="34">
      <c r="A34" s="416" t="inlineStr">
        <is>
          <t>Ajuste</t>
        </is>
      </c>
      <c r="B34" s="416" t="inlineStr">
        <is>
          <t>Banco de Dados</t>
        </is>
      </c>
      <c r="C34" s="416" t="inlineStr">
        <is>
          <t>Modelagem / Entidade Básica</t>
        </is>
      </c>
      <c r="D34" s="417" t="n">
        <v>2.4</v>
      </c>
      <c r="E34" s="417" t="n">
        <v>3.6</v>
      </c>
      <c r="F34" s="417" t="n">
        <v>4.8</v>
      </c>
      <c r="G34" s="417" t="n">
        <v>7.2</v>
      </c>
      <c r="H34" s="417" t="n">
        <v>9.6</v>
      </c>
    </row>
    <row r="35">
      <c r="A35" s="416" t="inlineStr">
        <is>
          <t>Ajuste</t>
        </is>
      </c>
      <c r="B35" s="416" t="inlineStr">
        <is>
          <t>Banco de Dados</t>
        </is>
      </c>
      <c r="C35" s="416" t="inlineStr">
        <is>
          <t>View ou Query Complexa</t>
        </is>
      </c>
      <c r="D35" s="417" t="n">
        <v>4.8</v>
      </c>
      <c r="E35" s="417" t="n">
        <v>7.2</v>
      </c>
      <c r="F35" s="417" t="n">
        <v>9.6</v>
      </c>
      <c r="G35" s="417" t="n">
        <v>14.4</v>
      </c>
      <c r="H35" s="417" t="n">
        <v>19.2</v>
      </c>
    </row>
    <row r="36">
      <c r="A36" s="416" t="inlineStr">
        <is>
          <t>Ajuste</t>
        </is>
      </c>
      <c r="B36" s="416" t="inlineStr">
        <is>
          <t>Banco de Dados</t>
        </is>
      </c>
      <c r="C36" s="416" t="inlineStr">
        <is>
          <t>Script de Carga de Dados (ETL)</t>
        </is>
      </c>
      <c r="D36" s="417" t="n">
        <v>7.2</v>
      </c>
      <c r="E36" s="417" t="n">
        <v>10.8</v>
      </c>
      <c r="F36" s="417" t="n">
        <v>14.4</v>
      </c>
      <c r="G36" s="417" t="n">
        <v>21.6</v>
      </c>
      <c r="H36" s="417" t="n">
        <v>28.8</v>
      </c>
    </row>
    <row r="37">
      <c r="A37" s="416" t="inlineStr">
        <is>
          <t>Ajuste</t>
        </is>
      </c>
      <c r="B37" s="416" t="inlineStr">
        <is>
          <t>Outros</t>
        </is>
      </c>
      <c r="C37" s="416" t="inlineStr">
        <is>
          <t>Setup de Projeto Base</t>
        </is>
      </c>
      <c r="D37" s="417" t="n">
        <v>9.6</v>
      </c>
      <c r="E37" s="417" t="n">
        <v>14.4</v>
      </c>
      <c r="F37" s="417" t="n">
        <v>19.2</v>
      </c>
      <c r="G37" s="417" t="n">
        <v>28.8</v>
      </c>
      <c r="H37" s="417" t="n">
        <v>38.4</v>
      </c>
    </row>
    <row r="38">
      <c r="A38" s="416" t="inlineStr">
        <is>
          <t>Ajuste</t>
        </is>
      </c>
      <c r="B38" s="416" t="inlineStr">
        <is>
          <t>Outros</t>
        </is>
      </c>
      <c r="C38" s="416" t="inlineStr">
        <is>
          <t>Testes Unitários</t>
        </is>
      </c>
      <c r="D38" s="417" t="n">
        <v>4.8</v>
      </c>
      <c r="E38" s="417" t="n">
        <v>7.2</v>
      </c>
      <c r="F38" s="417" t="n">
        <v>9.6</v>
      </c>
      <c r="G38" s="417" t="n">
        <v>14.4</v>
      </c>
      <c r="H38" s="417" t="n">
        <v>19.2</v>
      </c>
    </row>
    <row r="39">
      <c r="A39" s="416" t="inlineStr">
        <is>
          <t>Ajuste</t>
        </is>
      </c>
      <c r="B39" s="416" t="inlineStr">
        <is>
          <t>Outros</t>
        </is>
      </c>
      <c r="C39" s="416" t="inlineStr">
        <is>
          <t>Documentação Técnica</t>
        </is>
      </c>
      <c r="D39" s="417" t="n">
        <v>4.8</v>
      </c>
      <c r="E39" s="417" t="n">
        <v>7.2</v>
      </c>
      <c r="F39" s="417" t="n">
        <v>9.6</v>
      </c>
      <c r="G39" s="417" t="n">
        <v>14.4</v>
      </c>
      <c r="H39" s="417" t="n">
        <v>19.2</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cols>
    <col width="40" customWidth="1" min="1" max="1"/>
    <col width="100" customWidth="1" min="2" max="2"/>
  </cols>
  <sheetData>
    <row r="1">
      <c r="A1" s="415" t="inlineStr">
        <is>
          <t>Componente</t>
        </is>
      </c>
      <c r="B1" s="415" t="inlineStr">
        <is>
          <t>Descrição da Premissa e Escopo</t>
        </is>
      </c>
    </row>
    <row r="2">
      <c r="A2" s="416" t="inlineStr">
        <is>
          <t>Tela de Autenticação / Login</t>
        </is>
      </c>
      <c r="B2" s="418" t="inlineStr">
        <is>
          <t>Desenvolvimento de tela de login com integração a backend de autenticação (ex: JWT/OAuth).</t>
        </is>
      </c>
    </row>
    <row r="3">
      <c r="A3" s="416" t="inlineStr">
        <is>
          <t>Formulário de Cadastro Simples</t>
        </is>
      </c>
      <c r="B3" s="418" t="inlineStr">
        <is>
          <t>CRUD simples com até 5 campos padrão, persistência em BD, validações simples de front-end.</t>
        </is>
      </c>
    </row>
    <row r="4">
      <c r="A4" s="416" t="inlineStr">
        <is>
          <t>Formulário Mestre-Detalhe</t>
        </is>
      </c>
      <c r="B4" s="418" t="inlineStr">
        <is>
          <t>Tela complexa com abas ou listas associadas (ex: Pedido e Itens), com regras de interface dinâmicas.</t>
        </is>
      </c>
    </row>
    <row r="5">
      <c r="A5" s="416" t="inlineStr">
        <is>
          <t>Listagem / Grid</t>
        </is>
      </c>
      <c r="B5" s="418" t="inlineStr">
        <is>
          <t>Grid de dados com suporte a paginação, filtros por pelo menos 3 campos e ordenação de colunas.</t>
        </is>
      </c>
    </row>
    <row r="6">
      <c r="A6" s="416" t="inlineStr">
        <is>
          <t>Dashboard / Relatório Gráfico</t>
        </is>
      </c>
      <c r="B6" s="418" t="inlineStr">
        <is>
          <t>Tela que agrega múltiplos componentes visuais (gráficos de barra, pizza, linhas) baseados em diferentes origens de dados.</t>
        </is>
      </c>
    </row>
    <row r="7">
      <c r="A7" s="416" t="inlineStr">
        <is>
          <t>Componente Visual Customizado</t>
        </is>
      </c>
      <c r="B7" s="418" t="inlineStr">
        <is>
          <t>Criação de widget UI reutilizável que não é nativo da plataforma padrão.</t>
        </is>
      </c>
    </row>
    <row r="8">
      <c r="A8" s="416" t="inlineStr">
        <is>
          <t>Regra de Negócio Simples</t>
        </is>
      </c>
      <c r="B8" s="418" t="inlineStr">
        <is>
          <t>Validação de dados ou cálculo aritmético direto no fluxo da aplicação.</t>
        </is>
      </c>
    </row>
    <row r="9">
      <c r="A9" s="416" t="inlineStr">
        <is>
          <t>Regra de Negócio Complexa</t>
        </is>
      </c>
      <c r="B9" s="418" t="inlineStr">
        <is>
          <t>Processamento estruturado, consolidação de múltiplos modelos de dados ou algoritmo específico.</t>
        </is>
      </c>
    </row>
    <row r="10">
      <c r="A10" s="416" t="inlineStr">
        <is>
          <t>Endpoint de API (CRUD Padrão)</t>
        </is>
      </c>
      <c r="B10" s="418" t="inlineStr">
        <is>
          <t>Criação de rota RESTful para inserção, edição, leitura e deleção de uma entidade específica.</t>
        </is>
      </c>
    </row>
    <row r="11">
      <c r="A11" s="416" t="inlineStr">
        <is>
          <t>Gestão de Perfis / Permissões</t>
        </is>
      </c>
      <c r="B11" s="418" t="inlineStr">
        <is>
          <t>Verificação e bloqueio de funcionalidades baseado em roles e escopos de usuários.</t>
        </is>
      </c>
    </row>
    <row r="12">
      <c r="A12" s="416" t="inlineStr">
        <is>
          <t>Consumo de API Externa (Outbound)</t>
        </is>
      </c>
      <c r="B12" s="418" t="inlineStr">
        <is>
          <t>Integração cliente para consumir sistema de terceiro. Inclui parsing e tratamento de erro.</t>
        </is>
      </c>
    </row>
    <row r="13">
      <c r="A13" s="416" t="inlineStr">
        <is>
          <t>Serviço de Recepção (Inbound)</t>
        </is>
      </c>
      <c r="B13" s="418" t="inlineStr">
        <is>
          <t>Exposição de payload específico para recebimento de dados via webhook ou integração de parceiros.</t>
        </is>
      </c>
    </row>
    <row r="14">
      <c r="A14" s="416" t="inlineStr">
        <is>
          <t>Job / Rotina Assíncrona</t>
        </is>
      </c>
      <c r="B14" s="418" t="inlineStr">
        <is>
          <t>Processamento em background, scheduled tasks ou fila de execução (workers).</t>
        </is>
      </c>
    </row>
    <row r="15">
      <c r="A15" s="416" t="inlineStr">
        <is>
          <t>Modelagem / Entidade Básica</t>
        </is>
      </c>
      <c r="B15" s="418" t="inlineStr">
        <is>
          <t>Definição de tabelas, constraints e relacionamentos.</t>
        </is>
      </c>
    </row>
    <row r="16">
      <c r="A16" s="416" t="inlineStr">
        <is>
          <t>View ou Query Complexa</t>
        </is>
      </c>
      <c r="B16" s="418" t="inlineStr">
        <is>
          <t>Extração otimizada envolvendo múltiplos JOINs, subqueries e agregações.</t>
        </is>
      </c>
    </row>
    <row r="17">
      <c r="A17" s="416" t="inlineStr">
        <is>
          <t>Script de Carga de Dados (ETL)</t>
        </is>
      </c>
      <c r="B17" s="418" t="inlineStr">
        <is>
          <t>Script pontual para migração ou injeção de dados de configuração na inicialização.</t>
        </is>
      </c>
    </row>
    <row r="18">
      <c r="A18" s="416" t="inlineStr">
        <is>
          <t>Setup de Projeto Base</t>
        </is>
      </c>
      <c r="B18" s="418" t="inlineStr">
        <is>
          <t>Configuração inicial, arquitetura, dependências, injeção de dependência e scaffold.</t>
        </is>
      </c>
    </row>
    <row r="19">
      <c r="A19" s="416" t="inlineStr">
        <is>
          <t>Testes Unitários</t>
        </is>
      </c>
      <c r="B19" s="418" t="inlineStr">
        <is>
          <t>Criação de testes automatizados para cobertura dos métodos de negócios do componente em questão.</t>
        </is>
      </c>
    </row>
    <row r="20">
      <c r="A20" s="416" t="inlineStr">
        <is>
          <t>Documentação Técnica</t>
        </is>
      </c>
      <c r="B20" s="418" t="inlineStr">
        <is>
          <t>Elaboração de manual e detalhamento da arquitetura técnica / diagramas.</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H39"/>
  <sheetViews>
    <sheetView workbookViewId="0">
      <selection activeCell="A1" sqref="A1"/>
    </sheetView>
  </sheetViews>
  <sheetFormatPr baseColWidth="8" defaultRowHeight="15"/>
  <cols>
    <col width="15" customWidth="1" min="1" max="1"/>
    <col width="20" customWidth="1" min="2" max="2"/>
    <col width="40" customWidth="1" min="3" max="3"/>
    <col width="15" customWidth="1" min="4" max="4"/>
    <col width="15" customWidth="1" min="5" max="5"/>
    <col width="15" customWidth="1" min="6" max="6"/>
    <col width="15" customWidth="1" min="7" max="7"/>
    <col width="15" customWidth="1" min="8" max="8"/>
  </cols>
  <sheetData>
    <row r="1">
      <c r="A1" s="415" t="inlineStr">
        <is>
          <t>Tipo</t>
        </is>
      </c>
      <c r="B1" s="415" t="inlineStr">
        <is>
          <t>Categoria</t>
        </is>
      </c>
      <c r="C1" s="415" t="inlineStr">
        <is>
          <t>Componente</t>
        </is>
      </c>
      <c r="D1" s="415" t="inlineStr">
        <is>
          <t>Muito Baixa</t>
        </is>
      </c>
      <c r="E1" s="415" t="inlineStr">
        <is>
          <t>Baixa</t>
        </is>
      </c>
      <c r="F1" s="415" t="inlineStr">
        <is>
          <t>Média</t>
        </is>
      </c>
      <c r="G1" s="415" t="inlineStr">
        <is>
          <t>Alta</t>
        </is>
      </c>
      <c r="H1" s="415" t="inlineStr">
        <is>
          <t>Muito Alta</t>
        </is>
      </c>
    </row>
    <row r="2">
      <c r="A2" s="416" t="inlineStr">
        <is>
          <t>Novo</t>
        </is>
      </c>
      <c r="B2" s="416" t="inlineStr">
        <is>
          <t>Front-End</t>
        </is>
      </c>
      <c r="C2" s="416" t="inlineStr">
        <is>
          <t>Tela de Autenticação / Login</t>
        </is>
      </c>
      <c r="D2" s="417" t="n">
        <v>8</v>
      </c>
      <c r="E2" s="417" t="n">
        <v>12</v>
      </c>
      <c r="F2" s="417" t="n">
        <v>16</v>
      </c>
      <c r="G2" s="417" t="n">
        <v>24</v>
      </c>
      <c r="H2" s="417" t="n">
        <v>32</v>
      </c>
    </row>
    <row r="3">
      <c r="A3" s="416" t="inlineStr">
        <is>
          <t>Novo</t>
        </is>
      </c>
      <c r="B3" s="416" t="inlineStr">
        <is>
          <t>Front-End</t>
        </is>
      </c>
      <c r="C3" s="416" t="inlineStr">
        <is>
          <t>Formulário de Cadastro Simples</t>
        </is>
      </c>
      <c r="D3" s="417" t="n">
        <v>12</v>
      </c>
      <c r="E3" s="417" t="n">
        <v>18</v>
      </c>
      <c r="F3" s="417" t="n">
        <v>24</v>
      </c>
      <c r="G3" s="417" t="n">
        <v>36</v>
      </c>
      <c r="H3" s="417" t="n">
        <v>48</v>
      </c>
    </row>
    <row r="4">
      <c r="A4" s="416" t="inlineStr">
        <is>
          <t>Novo</t>
        </is>
      </c>
      <c r="B4" s="416" t="inlineStr">
        <is>
          <t>Front-End</t>
        </is>
      </c>
      <c r="C4" s="416" t="inlineStr">
        <is>
          <t>Formulário Mestre-Detalhe</t>
        </is>
      </c>
      <c r="D4" s="417" t="n">
        <v>24</v>
      </c>
      <c r="E4" s="417" t="n">
        <v>36</v>
      </c>
      <c r="F4" s="417" t="n">
        <v>48</v>
      </c>
      <c r="G4" s="417" t="n">
        <v>72</v>
      </c>
      <c r="H4" s="417" t="n">
        <v>96</v>
      </c>
    </row>
    <row r="5">
      <c r="A5" s="416" t="inlineStr">
        <is>
          <t>Novo</t>
        </is>
      </c>
      <c r="B5" s="416" t="inlineStr">
        <is>
          <t>Front-End</t>
        </is>
      </c>
      <c r="C5" s="416" t="inlineStr">
        <is>
          <t>Listagem / Grid</t>
        </is>
      </c>
      <c r="D5" s="417" t="n">
        <v>8</v>
      </c>
      <c r="E5" s="417" t="n">
        <v>12</v>
      </c>
      <c r="F5" s="417" t="n">
        <v>16</v>
      </c>
      <c r="G5" s="417" t="n">
        <v>24</v>
      </c>
      <c r="H5" s="417" t="n">
        <v>32</v>
      </c>
    </row>
    <row r="6">
      <c r="A6" s="416" t="inlineStr">
        <is>
          <t>Novo</t>
        </is>
      </c>
      <c r="B6" s="416" t="inlineStr">
        <is>
          <t>Front-End</t>
        </is>
      </c>
      <c r="C6" s="416" t="inlineStr">
        <is>
          <t>Dashboard / Relatório Gráfico</t>
        </is>
      </c>
      <c r="D6" s="417" t="n">
        <v>20</v>
      </c>
      <c r="E6" s="417" t="n">
        <v>30</v>
      </c>
      <c r="F6" s="417" t="n">
        <v>40</v>
      </c>
      <c r="G6" s="417" t="n">
        <v>60</v>
      </c>
      <c r="H6" s="417" t="n">
        <v>80</v>
      </c>
    </row>
    <row r="7">
      <c r="A7" s="416" t="inlineStr">
        <is>
          <t>Novo</t>
        </is>
      </c>
      <c r="B7" s="416" t="inlineStr">
        <is>
          <t>Front-End</t>
        </is>
      </c>
      <c r="C7" s="416" t="inlineStr">
        <is>
          <t>Componente Visual Customizado</t>
        </is>
      </c>
      <c r="D7" s="417" t="n">
        <v>12</v>
      </c>
      <c r="E7" s="417" t="n">
        <v>18</v>
      </c>
      <c r="F7" s="417" t="n">
        <v>24</v>
      </c>
      <c r="G7" s="417" t="n">
        <v>36</v>
      </c>
      <c r="H7" s="417" t="n">
        <v>48</v>
      </c>
    </row>
    <row r="8">
      <c r="A8" s="416" t="inlineStr">
        <is>
          <t>Novo</t>
        </is>
      </c>
      <c r="B8" s="416" t="inlineStr">
        <is>
          <t>Back-End</t>
        </is>
      </c>
      <c r="C8" s="416" t="inlineStr">
        <is>
          <t>Regra de Negócio Simples</t>
        </is>
      </c>
      <c r="D8" s="417" t="n">
        <v>6</v>
      </c>
      <c r="E8" s="417" t="n">
        <v>9</v>
      </c>
      <c r="F8" s="417" t="n">
        <v>12</v>
      </c>
      <c r="G8" s="417" t="n">
        <v>18</v>
      </c>
      <c r="H8" s="417" t="n">
        <v>24</v>
      </c>
    </row>
    <row r="9">
      <c r="A9" s="416" t="inlineStr">
        <is>
          <t>Novo</t>
        </is>
      </c>
      <c r="B9" s="416" t="inlineStr">
        <is>
          <t>Back-End</t>
        </is>
      </c>
      <c r="C9" s="416" t="inlineStr">
        <is>
          <t>Regra de Negócio Complexa</t>
        </is>
      </c>
      <c r="D9" s="417" t="n">
        <v>16</v>
      </c>
      <c r="E9" s="417" t="n">
        <v>24</v>
      </c>
      <c r="F9" s="417" t="n">
        <v>32</v>
      </c>
      <c r="G9" s="417" t="n">
        <v>48</v>
      </c>
      <c r="H9" s="417" t="n">
        <v>64</v>
      </c>
    </row>
    <row r="10">
      <c r="A10" s="416" t="inlineStr">
        <is>
          <t>Novo</t>
        </is>
      </c>
      <c r="B10" s="416" t="inlineStr">
        <is>
          <t>Back-End</t>
        </is>
      </c>
      <c r="C10" s="416" t="inlineStr">
        <is>
          <t>Endpoint de API (CRUD Padrão)</t>
        </is>
      </c>
      <c r="D10" s="417" t="n">
        <v>12</v>
      </c>
      <c r="E10" s="417" t="n">
        <v>18</v>
      </c>
      <c r="F10" s="417" t="n">
        <v>24</v>
      </c>
      <c r="G10" s="417" t="n">
        <v>36</v>
      </c>
      <c r="H10" s="417" t="n">
        <v>48</v>
      </c>
    </row>
    <row r="11">
      <c r="A11" s="416" t="inlineStr">
        <is>
          <t>Novo</t>
        </is>
      </c>
      <c r="B11" s="416" t="inlineStr">
        <is>
          <t>Back-End</t>
        </is>
      </c>
      <c r="C11" s="416" t="inlineStr">
        <is>
          <t>Gestão de Perfis / Permissões</t>
        </is>
      </c>
      <c r="D11" s="417" t="n">
        <v>8</v>
      </c>
      <c r="E11" s="417" t="n">
        <v>12</v>
      </c>
      <c r="F11" s="417" t="n">
        <v>16</v>
      </c>
      <c r="G11" s="417" t="n">
        <v>24</v>
      </c>
      <c r="H11" s="417" t="n">
        <v>32</v>
      </c>
    </row>
    <row r="12">
      <c r="A12" s="416" t="inlineStr">
        <is>
          <t>Novo</t>
        </is>
      </c>
      <c r="B12" s="416" t="inlineStr">
        <is>
          <t>Integração</t>
        </is>
      </c>
      <c r="C12" s="416" t="inlineStr">
        <is>
          <t>Consumo de API Externa (Outbound)</t>
        </is>
      </c>
      <c r="D12" s="417" t="n">
        <v>16</v>
      </c>
      <c r="E12" s="417" t="n">
        <v>24</v>
      </c>
      <c r="F12" s="417" t="n">
        <v>32</v>
      </c>
      <c r="G12" s="417" t="n">
        <v>48</v>
      </c>
      <c r="H12" s="417" t="n">
        <v>64</v>
      </c>
    </row>
    <row r="13">
      <c r="A13" s="416" t="inlineStr">
        <is>
          <t>Novo</t>
        </is>
      </c>
      <c r="B13" s="416" t="inlineStr">
        <is>
          <t>Integração</t>
        </is>
      </c>
      <c r="C13" s="416" t="inlineStr">
        <is>
          <t>Serviço de Recepção (Inbound)</t>
        </is>
      </c>
      <c r="D13" s="417" t="n">
        <v>16</v>
      </c>
      <c r="E13" s="417" t="n">
        <v>24</v>
      </c>
      <c r="F13" s="417" t="n">
        <v>32</v>
      </c>
      <c r="G13" s="417" t="n">
        <v>48</v>
      </c>
      <c r="H13" s="417" t="n">
        <v>64</v>
      </c>
    </row>
    <row r="14">
      <c r="A14" s="416" t="inlineStr">
        <is>
          <t>Novo</t>
        </is>
      </c>
      <c r="B14" s="416" t="inlineStr">
        <is>
          <t>Integração</t>
        </is>
      </c>
      <c r="C14" s="416" t="inlineStr">
        <is>
          <t>Job / Rotina Assíncrona</t>
        </is>
      </c>
      <c r="D14" s="417" t="n">
        <v>12</v>
      </c>
      <c r="E14" s="417" t="n">
        <v>18</v>
      </c>
      <c r="F14" s="417" t="n">
        <v>24</v>
      </c>
      <c r="G14" s="417" t="n">
        <v>36</v>
      </c>
      <c r="H14" s="417" t="n">
        <v>48</v>
      </c>
    </row>
    <row r="15">
      <c r="A15" s="416" t="inlineStr">
        <is>
          <t>Novo</t>
        </is>
      </c>
      <c r="B15" s="416" t="inlineStr">
        <is>
          <t>Banco de Dados</t>
        </is>
      </c>
      <c r="C15" s="416" t="inlineStr">
        <is>
          <t>Modelagem / Entidade Básica</t>
        </is>
      </c>
      <c r="D15" s="417" t="n">
        <v>4</v>
      </c>
      <c r="E15" s="417" t="n">
        <v>6</v>
      </c>
      <c r="F15" s="417" t="n">
        <v>8</v>
      </c>
      <c r="G15" s="417" t="n">
        <v>12</v>
      </c>
      <c r="H15" s="417" t="n">
        <v>16</v>
      </c>
    </row>
    <row r="16">
      <c r="A16" s="416" t="inlineStr">
        <is>
          <t>Novo</t>
        </is>
      </c>
      <c r="B16" s="416" t="inlineStr">
        <is>
          <t>Banco de Dados</t>
        </is>
      </c>
      <c r="C16" s="416" t="inlineStr">
        <is>
          <t>View ou Query Complexa</t>
        </is>
      </c>
      <c r="D16" s="417" t="n">
        <v>8</v>
      </c>
      <c r="E16" s="417" t="n">
        <v>12</v>
      </c>
      <c r="F16" s="417" t="n">
        <v>16</v>
      </c>
      <c r="G16" s="417" t="n">
        <v>24</v>
      </c>
      <c r="H16" s="417" t="n">
        <v>32</v>
      </c>
    </row>
    <row r="17">
      <c r="A17" s="416" t="inlineStr">
        <is>
          <t>Novo</t>
        </is>
      </c>
      <c r="B17" s="416" t="inlineStr">
        <is>
          <t>Banco de Dados</t>
        </is>
      </c>
      <c r="C17" s="416" t="inlineStr">
        <is>
          <t>Script de Carga de Dados (ETL)</t>
        </is>
      </c>
      <c r="D17" s="417" t="n">
        <v>12</v>
      </c>
      <c r="E17" s="417" t="n">
        <v>18</v>
      </c>
      <c r="F17" s="417" t="n">
        <v>24</v>
      </c>
      <c r="G17" s="417" t="n">
        <v>36</v>
      </c>
      <c r="H17" s="417" t="n">
        <v>48</v>
      </c>
    </row>
    <row r="18">
      <c r="A18" s="416" t="inlineStr">
        <is>
          <t>Novo</t>
        </is>
      </c>
      <c r="B18" s="416" t="inlineStr">
        <is>
          <t>Outros</t>
        </is>
      </c>
      <c r="C18" s="416" t="inlineStr">
        <is>
          <t>Setup de Projeto Base</t>
        </is>
      </c>
      <c r="D18" s="417" t="n">
        <v>16</v>
      </c>
      <c r="E18" s="417" t="n">
        <v>24</v>
      </c>
      <c r="F18" s="417" t="n">
        <v>32</v>
      </c>
      <c r="G18" s="417" t="n">
        <v>48</v>
      </c>
      <c r="H18" s="417" t="n">
        <v>64</v>
      </c>
    </row>
    <row r="19">
      <c r="A19" s="416" t="inlineStr">
        <is>
          <t>Novo</t>
        </is>
      </c>
      <c r="B19" s="416" t="inlineStr">
        <is>
          <t>Outros</t>
        </is>
      </c>
      <c r="C19" s="416" t="inlineStr">
        <is>
          <t>Testes Unitários</t>
        </is>
      </c>
      <c r="D19" s="417" t="n">
        <v>8</v>
      </c>
      <c r="E19" s="417" t="n">
        <v>12</v>
      </c>
      <c r="F19" s="417" t="n">
        <v>16</v>
      </c>
      <c r="G19" s="417" t="n">
        <v>24</v>
      </c>
      <c r="H19" s="417" t="n">
        <v>32</v>
      </c>
    </row>
    <row r="20">
      <c r="A20" s="416" t="inlineStr">
        <is>
          <t>Novo</t>
        </is>
      </c>
      <c r="B20" s="416" t="inlineStr">
        <is>
          <t>Outros</t>
        </is>
      </c>
      <c r="C20" s="416" t="inlineStr">
        <is>
          <t>Documentação Técnica</t>
        </is>
      </c>
      <c r="D20" s="417" t="n">
        <v>8</v>
      </c>
      <c r="E20" s="417" t="n">
        <v>12</v>
      </c>
      <c r="F20" s="417" t="n">
        <v>16</v>
      </c>
      <c r="G20" s="417" t="n">
        <v>24</v>
      </c>
      <c r="H20" s="417" t="n">
        <v>32</v>
      </c>
    </row>
    <row r="21">
      <c r="A21" s="416" t="inlineStr">
        <is>
          <t>Ajuste</t>
        </is>
      </c>
      <c r="B21" s="416" t="inlineStr">
        <is>
          <t>Front-End</t>
        </is>
      </c>
      <c r="C21" s="416" t="inlineStr">
        <is>
          <t>Tela de Autenticação / Login</t>
        </is>
      </c>
      <c r="D21" s="417" t="n">
        <v>4.8</v>
      </c>
      <c r="E21" s="417" t="n">
        <v>7.2</v>
      </c>
      <c r="F21" s="417" t="n">
        <v>9.6</v>
      </c>
      <c r="G21" s="417" t="n">
        <v>14.4</v>
      </c>
      <c r="H21" s="417" t="n">
        <v>19.2</v>
      </c>
    </row>
    <row r="22">
      <c r="A22" s="416" t="inlineStr">
        <is>
          <t>Ajuste</t>
        </is>
      </c>
      <c r="B22" s="416" t="inlineStr">
        <is>
          <t>Front-End</t>
        </is>
      </c>
      <c r="C22" s="416" t="inlineStr">
        <is>
          <t>Formulário de Cadastro Simples</t>
        </is>
      </c>
      <c r="D22" s="417" t="n">
        <v>7.2</v>
      </c>
      <c r="E22" s="417" t="n">
        <v>10.8</v>
      </c>
      <c r="F22" s="417" t="n">
        <v>14.4</v>
      </c>
      <c r="G22" s="417" t="n">
        <v>21.6</v>
      </c>
      <c r="H22" s="417" t="n">
        <v>28.8</v>
      </c>
    </row>
    <row r="23">
      <c r="A23" s="416" t="inlineStr">
        <is>
          <t>Ajuste</t>
        </is>
      </c>
      <c r="B23" s="416" t="inlineStr">
        <is>
          <t>Front-End</t>
        </is>
      </c>
      <c r="C23" s="416" t="inlineStr">
        <is>
          <t>Formulário Mestre-Detalhe</t>
        </is>
      </c>
      <c r="D23" s="417" t="n">
        <v>14.4</v>
      </c>
      <c r="E23" s="417" t="n">
        <v>21.6</v>
      </c>
      <c r="F23" s="417" t="n">
        <v>28.8</v>
      </c>
      <c r="G23" s="417" t="n">
        <v>43.2</v>
      </c>
      <c r="H23" s="417" t="n">
        <v>57.6</v>
      </c>
    </row>
    <row r="24">
      <c r="A24" s="416" t="inlineStr">
        <is>
          <t>Ajuste</t>
        </is>
      </c>
      <c r="B24" s="416" t="inlineStr">
        <is>
          <t>Front-End</t>
        </is>
      </c>
      <c r="C24" s="416" t="inlineStr">
        <is>
          <t>Listagem / Grid</t>
        </is>
      </c>
      <c r="D24" s="417" t="n">
        <v>4.8</v>
      </c>
      <c r="E24" s="417" t="n">
        <v>7.2</v>
      </c>
      <c r="F24" s="417" t="n">
        <v>9.6</v>
      </c>
      <c r="G24" s="417" t="n">
        <v>14.4</v>
      </c>
      <c r="H24" s="417" t="n">
        <v>19.2</v>
      </c>
    </row>
    <row r="25">
      <c r="A25" s="416" t="inlineStr">
        <is>
          <t>Ajuste</t>
        </is>
      </c>
      <c r="B25" s="416" t="inlineStr">
        <is>
          <t>Front-End</t>
        </is>
      </c>
      <c r="C25" s="416" t="inlineStr">
        <is>
          <t>Dashboard / Relatório Gráfico</t>
        </is>
      </c>
      <c r="D25" s="417" t="n">
        <v>12</v>
      </c>
      <c r="E25" s="417" t="n">
        <v>18</v>
      </c>
      <c r="F25" s="417" t="n">
        <v>24</v>
      </c>
      <c r="G25" s="417" t="n">
        <v>36</v>
      </c>
      <c r="H25" s="417" t="n">
        <v>48</v>
      </c>
    </row>
    <row r="26">
      <c r="A26" s="416" t="inlineStr">
        <is>
          <t>Ajuste</t>
        </is>
      </c>
      <c r="B26" s="416" t="inlineStr">
        <is>
          <t>Front-End</t>
        </is>
      </c>
      <c r="C26" s="416" t="inlineStr">
        <is>
          <t>Componente Visual Customizado</t>
        </is>
      </c>
      <c r="D26" s="417" t="n">
        <v>7.2</v>
      </c>
      <c r="E26" s="417" t="n">
        <v>10.8</v>
      </c>
      <c r="F26" s="417" t="n">
        <v>14.4</v>
      </c>
      <c r="G26" s="417" t="n">
        <v>21.6</v>
      </c>
      <c r="H26" s="417" t="n">
        <v>28.8</v>
      </c>
    </row>
    <row r="27">
      <c r="A27" s="416" t="inlineStr">
        <is>
          <t>Ajuste</t>
        </is>
      </c>
      <c r="B27" s="416" t="inlineStr">
        <is>
          <t>Back-End</t>
        </is>
      </c>
      <c r="C27" s="416" t="inlineStr">
        <is>
          <t>Regra de Negócio Simples</t>
        </is>
      </c>
      <c r="D27" s="417" t="n">
        <v>3.6</v>
      </c>
      <c r="E27" s="417" t="n">
        <v>5.4</v>
      </c>
      <c r="F27" s="417" t="n">
        <v>7.2</v>
      </c>
      <c r="G27" s="417" t="n">
        <v>10.8</v>
      </c>
      <c r="H27" s="417" t="n">
        <v>14.4</v>
      </c>
    </row>
    <row r="28">
      <c r="A28" s="416" t="inlineStr">
        <is>
          <t>Ajuste</t>
        </is>
      </c>
      <c r="B28" s="416" t="inlineStr">
        <is>
          <t>Back-End</t>
        </is>
      </c>
      <c r="C28" s="416" t="inlineStr">
        <is>
          <t>Regra de Negócio Complexa</t>
        </is>
      </c>
      <c r="D28" s="417" t="n">
        <v>9.6</v>
      </c>
      <c r="E28" s="417" t="n">
        <v>14.4</v>
      </c>
      <c r="F28" s="417" t="n">
        <v>19.2</v>
      </c>
      <c r="G28" s="417" t="n">
        <v>28.8</v>
      </c>
      <c r="H28" s="417" t="n">
        <v>38.4</v>
      </c>
    </row>
    <row r="29">
      <c r="A29" s="416" t="inlineStr">
        <is>
          <t>Ajuste</t>
        </is>
      </c>
      <c r="B29" s="416" t="inlineStr">
        <is>
          <t>Back-End</t>
        </is>
      </c>
      <c r="C29" s="416" t="inlineStr">
        <is>
          <t>Endpoint de API (CRUD Padrão)</t>
        </is>
      </c>
      <c r="D29" s="417" t="n">
        <v>7.2</v>
      </c>
      <c r="E29" s="417" t="n">
        <v>10.8</v>
      </c>
      <c r="F29" s="417" t="n">
        <v>14.4</v>
      </c>
      <c r="G29" s="417" t="n">
        <v>21.6</v>
      </c>
      <c r="H29" s="417" t="n">
        <v>28.8</v>
      </c>
    </row>
    <row r="30">
      <c r="A30" s="416" t="inlineStr">
        <is>
          <t>Ajuste</t>
        </is>
      </c>
      <c r="B30" s="416" t="inlineStr">
        <is>
          <t>Back-End</t>
        </is>
      </c>
      <c r="C30" s="416" t="inlineStr">
        <is>
          <t>Gestão de Perfis / Permissões</t>
        </is>
      </c>
      <c r="D30" s="417" t="n">
        <v>4.8</v>
      </c>
      <c r="E30" s="417" t="n">
        <v>7.2</v>
      </c>
      <c r="F30" s="417" t="n">
        <v>9.6</v>
      </c>
      <c r="G30" s="417" t="n">
        <v>14.4</v>
      </c>
      <c r="H30" s="417" t="n">
        <v>19.2</v>
      </c>
    </row>
    <row r="31">
      <c r="A31" s="416" t="inlineStr">
        <is>
          <t>Ajuste</t>
        </is>
      </c>
      <c r="B31" s="416" t="inlineStr">
        <is>
          <t>Integração</t>
        </is>
      </c>
      <c r="C31" s="416" t="inlineStr">
        <is>
          <t>Consumo de API Externa (Outbound)</t>
        </is>
      </c>
      <c r="D31" s="417" t="n">
        <v>9.6</v>
      </c>
      <c r="E31" s="417" t="n">
        <v>14.4</v>
      </c>
      <c r="F31" s="417" t="n">
        <v>19.2</v>
      </c>
      <c r="G31" s="417" t="n">
        <v>28.8</v>
      </c>
      <c r="H31" s="417" t="n">
        <v>38.4</v>
      </c>
    </row>
    <row r="32">
      <c r="A32" s="416" t="inlineStr">
        <is>
          <t>Ajuste</t>
        </is>
      </c>
      <c r="B32" s="416" t="inlineStr">
        <is>
          <t>Integração</t>
        </is>
      </c>
      <c r="C32" s="416" t="inlineStr">
        <is>
          <t>Serviço de Recepção (Inbound)</t>
        </is>
      </c>
      <c r="D32" s="417" t="n">
        <v>9.6</v>
      </c>
      <c r="E32" s="417" t="n">
        <v>14.4</v>
      </c>
      <c r="F32" s="417" t="n">
        <v>19.2</v>
      </c>
      <c r="G32" s="417" t="n">
        <v>28.8</v>
      </c>
      <c r="H32" s="417" t="n">
        <v>38.4</v>
      </c>
    </row>
    <row r="33">
      <c r="A33" s="416" t="inlineStr">
        <is>
          <t>Ajuste</t>
        </is>
      </c>
      <c r="B33" s="416" t="inlineStr">
        <is>
          <t>Integração</t>
        </is>
      </c>
      <c r="C33" s="416" t="inlineStr">
        <is>
          <t>Job / Rotina Assíncrona</t>
        </is>
      </c>
      <c r="D33" s="417" t="n">
        <v>7.2</v>
      </c>
      <c r="E33" s="417" t="n">
        <v>10.8</v>
      </c>
      <c r="F33" s="417" t="n">
        <v>14.4</v>
      </c>
      <c r="G33" s="417" t="n">
        <v>21.6</v>
      </c>
      <c r="H33" s="417" t="n">
        <v>28.8</v>
      </c>
    </row>
    <row r="34">
      <c r="A34" s="416" t="inlineStr">
        <is>
          <t>Ajuste</t>
        </is>
      </c>
      <c r="B34" s="416" t="inlineStr">
        <is>
          <t>Banco de Dados</t>
        </is>
      </c>
      <c r="C34" s="416" t="inlineStr">
        <is>
          <t>Modelagem / Entidade Básica</t>
        </is>
      </c>
      <c r="D34" s="417" t="n">
        <v>2.4</v>
      </c>
      <c r="E34" s="417" t="n">
        <v>3.6</v>
      </c>
      <c r="F34" s="417" t="n">
        <v>4.8</v>
      </c>
      <c r="G34" s="417" t="n">
        <v>7.2</v>
      </c>
      <c r="H34" s="417" t="n">
        <v>9.6</v>
      </c>
    </row>
    <row r="35">
      <c r="A35" s="416" t="inlineStr">
        <is>
          <t>Ajuste</t>
        </is>
      </c>
      <c r="B35" s="416" t="inlineStr">
        <is>
          <t>Banco de Dados</t>
        </is>
      </c>
      <c r="C35" s="416" t="inlineStr">
        <is>
          <t>View ou Query Complexa</t>
        </is>
      </c>
      <c r="D35" s="417" t="n">
        <v>4.8</v>
      </c>
      <c r="E35" s="417" t="n">
        <v>7.2</v>
      </c>
      <c r="F35" s="417" t="n">
        <v>9.6</v>
      </c>
      <c r="G35" s="417" t="n">
        <v>14.4</v>
      </c>
      <c r="H35" s="417" t="n">
        <v>19.2</v>
      </c>
    </row>
    <row r="36">
      <c r="A36" s="416" t="inlineStr">
        <is>
          <t>Ajuste</t>
        </is>
      </c>
      <c r="B36" s="416" t="inlineStr">
        <is>
          <t>Banco de Dados</t>
        </is>
      </c>
      <c r="C36" s="416" t="inlineStr">
        <is>
          <t>Script de Carga de Dados (ETL)</t>
        </is>
      </c>
      <c r="D36" s="417" t="n">
        <v>7.2</v>
      </c>
      <c r="E36" s="417" t="n">
        <v>10.8</v>
      </c>
      <c r="F36" s="417" t="n">
        <v>14.4</v>
      </c>
      <c r="G36" s="417" t="n">
        <v>21.6</v>
      </c>
      <c r="H36" s="417" t="n">
        <v>28.8</v>
      </c>
    </row>
    <row r="37">
      <c r="A37" s="416" t="inlineStr">
        <is>
          <t>Ajuste</t>
        </is>
      </c>
      <c r="B37" s="416" t="inlineStr">
        <is>
          <t>Outros</t>
        </is>
      </c>
      <c r="C37" s="416" t="inlineStr">
        <is>
          <t>Setup de Projeto Base</t>
        </is>
      </c>
      <c r="D37" s="417" t="n">
        <v>9.6</v>
      </c>
      <c r="E37" s="417" t="n">
        <v>14.4</v>
      </c>
      <c r="F37" s="417" t="n">
        <v>19.2</v>
      </c>
      <c r="G37" s="417" t="n">
        <v>28.8</v>
      </c>
      <c r="H37" s="417" t="n">
        <v>38.4</v>
      </c>
    </row>
    <row r="38">
      <c r="A38" s="416" t="inlineStr">
        <is>
          <t>Ajuste</t>
        </is>
      </c>
      <c r="B38" s="416" t="inlineStr">
        <is>
          <t>Outros</t>
        </is>
      </c>
      <c r="C38" s="416" t="inlineStr">
        <is>
          <t>Testes Unitários</t>
        </is>
      </c>
      <c r="D38" s="417" t="n">
        <v>4.8</v>
      </c>
      <c r="E38" s="417" t="n">
        <v>7.2</v>
      </c>
      <c r="F38" s="417" t="n">
        <v>9.6</v>
      </c>
      <c r="G38" s="417" t="n">
        <v>14.4</v>
      </c>
      <c r="H38" s="417" t="n">
        <v>19.2</v>
      </c>
    </row>
    <row r="39">
      <c r="A39" s="416" t="inlineStr">
        <is>
          <t>Ajuste</t>
        </is>
      </c>
      <c r="B39" s="416" t="inlineStr">
        <is>
          <t>Outros</t>
        </is>
      </c>
      <c r="C39" s="416" t="inlineStr">
        <is>
          <t>Documentação Técnica</t>
        </is>
      </c>
      <c r="D39" s="417" t="n">
        <v>4.8</v>
      </c>
      <c r="E39" s="417" t="n">
        <v>7.2</v>
      </c>
      <c r="F39" s="417" t="n">
        <v>9.6</v>
      </c>
      <c r="G39" s="417" t="n">
        <v>14.4</v>
      </c>
      <c r="H39" s="417" t="n">
        <v>19.2</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cols>
    <col width="40" customWidth="1" min="1" max="1"/>
    <col width="100" customWidth="1" min="2" max="2"/>
  </cols>
  <sheetData>
    <row r="1">
      <c r="A1" s="415" t="inlineStr">
        <is>
          <t>Componente</t>
        </is>
      </c>
      <c r="B1" s="415" t="inlineStr">
        <is>
          <t>Descrição da Premissa e Escopo</t>
        </is>
      </c>
    </row>
    <row r="2">
      <c r="A2" s="416" t="inlineStr">
        <is>
          <t>Tela de Autenticação / Login</t>
        </is>
      </c>
      <c r="B2" s="418" t="inlineStr">
        <is>
          <t>Desenvolvimento de tela de login com integração a backend de autenticação (ex: JWT/OAuth).</t>
        </is>
      </c>
    </row>
    <row r="3">
      <c r="A3" s="416" t="inlineStr">
        <is>
          <t>Formulário de Cadastro Simples</t>
        </is>
      </c>
      <c r="B3" s="418" t="inlineStr">
        <is>
          <t>CRUD simples com até 5 campos padrão, persistência em BD, validações simples de front-end.</t>
        </is>
      </c>
    </row>
    <row r="4">
      <c r="A4" s="416" t="inlineStr">
        <is>
          <t>Formulário Mestre-Detalhe</t>
        </is>
      </c>
      <c r="B4" s="418" t="inlineStr">
        <is>
          <t>Tela complexa com abas ou listas associadas (ex: Pedido e Itens), com regras de interface dinâmicas.</t>
        </is>
      </c>
    </row>
    <row r="5">
      <c r="A5" s="416" t="inlineStr">
        <is>
          <t>Listagem / Grid</t>
        </is>
      </c>
      <c r="B5" s="418" t="inlineStr">
        <is>
          <t>Grid de dados com suporte a paginação, filtros por pelo menos 3 campos e ordenação de colunas.</t>
        </is>
      </c>
    </row>
    <row r="6">
      <c r="A6" s="416" t="inlineStr">
        <is>
          <t>Dashboard / Relatório Gráfico</t>
        </is>
      </c>
      <c r="B6" s="418" t="inlineStr">
        <is>
          <t>Tela que agrega múltiplos componentes visuais (gráficos de barra, pizza, linhas) baseados em diferentes origens de dados.</t>
        </is>
      </c>
    </row>
    <row r="7">
      <c r="A7" s="416" t="inlineStr">
        <is>
          <t>Componente Visual Customizado</t>
        </is>
      </c>
      <c r="B7" s="418" t="inlineStr">
        <is>
          <t>Criação de widget UI reutilizável que não é nativo da plataforma padrão.</t>
        </is>
      </c>
    </row>
    <row r="8">
      <c r="A8" s="416" t="inlineStr">
        <is>
          <t>Regra de Negócio Simples</t>
        </is>
      </c>
      <c r="B8" s="418" t="inlineStr">
        <is>
          <t>Validação de dados ou cálculo aritmético direto no fluxo da aplicação.</t>
        </is>
      </c>
    </row>
    <row r="9">
      <c r="A9" s="416" t="inlineStr">
        <is>
          <t>Regra de Negócio Complexa</t>
        </is>
      </c>
      <c r="B9" s="418" t="inlineStr">
        <is>
          <t>Processamento estruturado, consolidação de múltiplos modelos de dados ou algoritmo específico.</t>
        </is>
      </c>
    </row>
    <row r="10">
      <c r="A10" s="416" t="inlineStr">
        <is>
          <t>Endpoint de API (CRUD Padrão)</t>
        </is>
      </c>
      <c r="B10" s="418" t="inlineStr">
        <is>
          <t>Criação de rota RESTful para inserção, edição, leitura e deleção de uma entidade específica.</t>
        </is>
      </c>
    </row>
    <row r="11">
      <c r="A11" s="416" t="inlineStr">
        <is>
          <t>Gestão de Perfis / Permissões</t>
        </is>
      </c>
      <c r="B11" s="418" t="inlineStr">
        <is>
          <t>Verificação e bloqueio de funcionalidades baseado em roles e escopos de usuários.</t>
        </is>
      </c>
    </row>
    <row r="12">
      <c r="A12" s="416" t="inlineStr">
        <is>
          <t>Consumo de API Externa (Outbound)</t>
        </is>
      </c>
      <c r="B12" s="418" t="inlineStr">
        <is>
          <t>Integração cliente para consumir sistema de terceiro. Inclui parsing e tratamento de erro.</t>
        </is>
      </c>
    </row>
    <row r="13">
      <c r="A13" s="416" t="inlineStr">
        <is>
          <t>Serviço de Recepção (Inbound)</t>
        </is>
      </c>
      <c r="B13" s="418" t="inlineStr">
        <is>
          <t>Exposição de payload específico para recebimento de dados via webhook ou integração de parceiros.</t>
        </is>
      </c>
    </row>
    <row r="14">
      <c r="A14" s="416" t="inlineStr">
        <is>
          <t>Job / Rotina Assíncrona</t>
        </is>
      </c>
      <c r="B14" s="418" t="inlineStr">
        <is>
          <t>Processamento em background, scheduled tasks ou fila de execução (workers).</t>
        </is>
      </c>
    </row>
    <row r="15">
      <c r="A15" s="416" t="inlineStr">
        <is>
          <t>Modelagem / Entidade Básica</t>
        </is>
      </c>
      <c r="B15" s="418" t="inlineStr">
        <is>
          <t>Definição de tabelas, constraints e relacionamentos.</t>
        </is>
      </c>
    </row>
    <row r="16">
      <c r="A16" s="416" t="inlineStr">
        <is>
          <t>View ou Query Complexa</t>
        </is>
      </c>
      <c r="B16" s="418" t="inlineStr">
        <is>
          <t>Extração otimizada envolvendo múltiplos JOINs, subqueries e agregações.</t>
        </is>
      </c>
    </row>
    <row r="17">
      <c r="A17" s="416" t="inlineStr">
        <is>
          <t>Script de Carga de Dados (ETL)</t>
        </is>
      </c>
      <c r="B17" s="418" t="inlineStr">
        <is>
          <t>Script pontual para migração ou injeção de dados de configuração na inicialização.</t>
        </is>
      </c>
    </row>
    <row r="18">
      <c r="A18" s="416" t="inlineStr">
        <is>
          <t>Setup de Projeto Base</t>
        </is>
      </c>
      <c r="B18" s="418" t="inlineStr">
        <is>
          <t>Configuração inicial, arquitetura, dependências, injeção de dependência e scaffold.</t>
        </is>
      </c>
    </row>
    <row r="19">
      <c r="A19" s="416" t="inlineStr">
        <is>
          <t>Testes Unitários</t>
        </is>
      </c>
      <c r="B19" s="418" t="inlineStr">
        <is>
          <t>Criação de testes automatizados para cobertura dos métodos de negócios do componente em questão.</t>
        </is>
      </c>
    </row>
    <row r="20">
      <c r="A20" s="416" t="inlineStr">
        <is>
          <t>Documentação Técnica</t>
        </is>
      </c>
      <c r="B20" s="418" t="inlineStr">
        <is>
          <t>Elaboração de manual e detalhamento da arquitetura técnica / diagramas.</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H39"/>
  <sheetViews>
    <sheetView workbookViewId="0">
      <selection activeCell="A1" sqref="A1"/>
    </sheetView>
  </sheetViews>
  <sheetFormatPr baseColWidth="8" defaultRowHeight="15"/>
  <cols>
    <col width="15" customWidth="1" min="1" max="1"/>
    <col width="20" customWidth="1" min="2" max="2"/>
    <col width="40" customWidth="1" min="3" max="3"/>
    <col width="15" customWidth="1" min="4" max="4"/>
    <col width="15" customWidth="1" min="5" max="5"/>
    <col width="15" customWidth="1" min="6" max="6"/>
    <col width="15" customWidth="1" min="7" max="7"/>
    <col width="15" customWidth="1" min="8" max="8"/>
  </cols>
  <sheetData>
    <row r="1">
      <c r="A1" s="415" t="inlineStr">
        <is>
          <t>Tipo</t>
        </is>
      </c>
      <c r="B1" s="415" t="inlineStr">
        <is>
          <t>Categoria</t>
        </is>
      </c>
      <c r="C1" s="415" t="inlineStr">
        <is>
          <t>Componente</t>
        </is>
      </c>
      <c r="D1" s="415" t="inlineStr">
        <is>
          <t>Muito Baixa</t>
        </is>
      </c>
      <c r="E1" s="415" t="inlineStr">
        <is>
          <t>Baixa</t>
        </is>
      </c>
      <c r="F1" s="415" t="inlineStr">
        <is>
          <t>Média</t>
        </is>
      </c>
      <c r="G1" s="415" t="inlineStr">
        <is>
          <t>Alta</t>
        </is>
      </c>
      <c r="H1" s="415" t="inlineStr">
        <is>
          <t>Muito Alta</t>
        </is>
      </c>
    </row>
    <row r="2">
      <c r="A2" s="416" t="inlineStr">
        <is>
          <t>Novo</t>
        </is>
      </c>
      <c r="B2" s="416" t="inlineStr">
        <is>
          <t>Front-End</t>
        </is>
      </c>
      <c r="C2" s="416" t="inlineStr">
        <is>
          <t>Tela de Autenticação / Login</t>
        </is>
      </c>
      <c r="D2" s="417" t="n">
        <v>8</v>
      </c>
      <c r="E2" s="417" t="n">
        <v>12</v>
      </c>
      <c r="F2" s="417" t="n">
        <v>16</v>
      </c>
      <c r="G2" s="417" t="n">
        <v>24</v>
      </c>
      <c r="H2" s="417" t="n">
        <v>32</v>
      </c>
    </row>
    <row r="3">
      <c r="A3" s="416" t="inlineStr">
        <is>
          <t>Novo</t>
        </is>
      </c>
      <c r="B3" s="416" t="inlineStr">
        <is>
          <t>Front-End</t>
        </is>
      </c>
      <c r="C3" s="416" t="inlineStr">
        <is>
          <t>Formulário de Cadastro Simples</t>
        </is>
      </c>
      <c r="D3" s="417" t="n">
        <v>12</v>
      </c>
      <c r="E3" s="417" t="n">
        <v>18</v>
      </c>
      <c r="F3" s="417" t="n">
        <v>24</v>
      </c>
      <c r="G3" s="417" t="n">
        <v>36</v>
      </c>
      <c r="H3" s="417" t="n">
        <v>48</v>
      </c>
    </row>
    <row r="4">
      <c r="A4" s="416" t="inlineStr">
        <is>
          <t>Novo</t>
        </is>
      </c>
      <c r="B4" s="416" t="inlineStr">
        <is>
          <t>Front-End</t>
        </is>
      </c>
      <c r="C4" s="416" t="inlineStr">
        <is>
          <t>Formulário Mestre-Detalhe</t>
        </is>
      </c>
      <c r="D4" s="417" t="n">
        <v>24</v>
      </c>
      <c r="E4" s="417" t="n">
        <v>36</v>
      </c>
      <c r="F4" s="417" t="n">
        <v>48</v>
      </c>
      <c r="G4" s="417" t="n">
        <v>72</v>
      </c>
      <c r="H4" s="417" t="n">
        <v>96</v>
      </c>
    </row>
    <row r="5">
      <c r="A5" s="416" t="inlineStr">
        <is>
          <t>Novo</t>
        </is>
      </c>
      <c r="B5" s="416" t="inlineStr">
        <is>
          <t>Front-End</t>
        </is>
      </c>
      <c r="C5" s="416" t="inlineStr">
        <is>
          <t>Listagem / Grid</t>
        </is>
      </c>
      <c r="D5" s="417" t="n">
        <v>8</v>
      </c>
      <c r="E5" s="417" t="n">
        <v>12</v>
      </c>
      <c r="F5" s="417" t="n">
        <v>16</v>
      </c>
      <c r="G5" s="417" t="n">
        <v>24</v>
      </c>
      <c r="H5" s="417" t="n">
        <v>32</v>
      </c>
    </row>
    <row r="6">
      <c r="A6" s="416" t="inlineStr">
        <is>
          <t>Novo</t>
        </is>
      </c>
      <c r="B6" s="416" t="inlineStr">
        <is>
          <t>Front-End</t>
        </is>
      </c>
      <c r="C6" s="416" t="inlineStr">
        <is>
          <t>Dashboard / Relatório Gráfico</t>
        </is>
      </c>
      <c r="D6" s="417" t="n">
        <v>20</v>
      </c>
      <c r="E6" s="417" t="n">
        <v>30</v>
      </c>
      <c r="F6" s="417" t="n">
        <v>40</v>
      </c>
      <c r="G6" s="417" t="n">
        <v>60</v>
      </c>
      <c r="H6" s="417" t="n">
        <v>80</v>
      </c>
    </row>
    <row r="7">
      <c r="A7" s="416" t="inlineStr">
        <is>
          <t>Novo</t>
        </is>
      </c>
      <c r="B7" s="416" t="inlineStr">
        <is>
          <t>Front-End</t>
        </is>
      </c>
      <c r="C7" s="416" t="inlineStr">
        <is>
          <t>Componente Visual Customizado</t>
        </is>
      </c>
      <c r="D7" s="417" t="n">
        <v>12</v>
      </c>
      <c r="E7" s="417" t="n">
        <v>18</v>
      </c>
      <c r="F7" s="417" t="n">
        <v>24</v>
      </c>
      <c r="G7" s="417" t="n">
        <v>36</v>
      </c>
      <c r="H7" s="417" t="n">
        <v>48</v>
      </c>
    </row>
    <row r="8">
      <c r="A8" s="416" t="inlineStr">
        <is>
          <t>Novo</t>
        </is>
      </c>
      <c r="B8" s="416" t="inlineStr">
        <is>
          <t>Back-End</t>
        </is>
      </c>
      <c r="C8" s="416" t="inlineStr">
        <is>
          <t>Regra de Negócio Simples</t>
        </is>
      </c>
      <c r="D8" s="417" t="n">
        <v>6</v>
      </c>
      <c r="E8" s="417" t="n">
        <v>9</v>
      </c>
      <c r="F8" s="417" t="n">
        <v>12</v>
      </c>
      <c r="G8" s="417" t="n">
        <v>18</v>
      </c>
      <c r="H8" s="417" t="n">
        <v>24</v>
      </c>
    </row>
    <row r="9">
      <c r="A9" s="416" t="inlineStr">
        <is>
          <t>Novo</t>
        </is>
      </c>
      <c r="B9" s="416" t="inlineStr">
        <is>
          <t>Back-End</t>
        </is>
      </c>
      <c r="C9" s="416" t="inlineStr">
        <is>
          <t>Regra de Negócio Complexa</t>
        </is>
      </c>
      <c r="D9" s="417" t="n">
        <v>16</v>
      </c>
      <c r="E9" s="417" t="n">
        <v>24</v>
      </c>
      <c r="F9" s="417" t="n">
        <v>32</v>
      </c>
      <c r="G9" s="417" t="n">
        <v>48</v>
      </c>
      <c r="H9" s="417" t="n">
        <v>64</v>
      </c>
    </row>
    <row r="10">
      <c r="A10" s="416" t="inlineStr">
        <is>
          <t>Novo</t>
        </is>
      </c>
      <c r="B10" s="416" t="inlineStr">
        <is>
          <t>Back-End</t>
        </is>
      </c>
      <c r="C10" s="416" t="inlineStr">
        <is>
          <t>Endpoint de API (CRUD Padrão)</t>
        </is>
      </c>
      <c r="D10" s="417" t="n">
        <v>12</v>
      </c>
      <c r="E10" s="417" t="n">
        <v>18</v>
      </c>
      <c r="F10" s="417" t="n">
        <v>24</v>
      </c>
      <c r="G10" s="417" t="n">
        <v>36</v>
      </c>
      <c r="H10" s="417" t="n">
        <v>48</v>
      </c>
    </row>
    <row r="11">
      <c r="A11" s="416" t="inlineStr">
        <is>
          <t>Novo</t>
        </is>
      </c>
      <c r="B11" s="416" t="inlineStr">
        <is>
          <t>Back-End</t>
        </is>
      </c>
      <c r="C11" s="416" t="inlineStr">
        <is>
          <t>Gestão de Perfis / Permissões</t>
        </is>
      </c>
      <c r="D11" s="417" t="n">
        <v>8</v>
      </c>
      <c r="E11" s="417" t="n">
        <v>12</v>
      </c>
      <c r="F11" s="417" t="n">
        <v>16</v>
      </c>
      <c r="G11" s="417" t="n">
        <v>24</v>
      </c>
      <c r="H11" s="417" t="n">
        <v>32</v>
      </c>
    </row>
    <row r="12">
      <c r="A12" s="416" t="inlineStr">
        <is>
          <t>Novo</t>
        </is>
      </c>
      <c r="B12" s="416" t="inlineStr">
        <is>
          <t>Integração</t>
        </is>
      </c>
      <c r="C12" s="416" t="inlineStr">
        <is>
          <t>Consumo de API Externa (Outbound)</t>
        </is>
      </c>
      <c r="D12" s="417" t="n">
        <v>16</v>
      </c>
      <c r="E12" s="417" t="n">
        <v>24</v>
      </c>
      <c r="F12" s="417" t="n">
        <v>32</v>
      </c>
      <c r="G12" s="417" t="n">
        <v>48</v>
      </c>
      <c r="H12" s="417" t="n">
        <v>64</v>
      </c>
    </row>
    <row r="13">
      <c r="A13" s="416" t="inlineStr">
        <is>
          <t>Novo</t>
        </is>
      </c>
      <c r="B13" s="416" t="inlineStr">
        <is>
          <t>Integração</t>
        </is>
      </c>
      <c r="C13" s="416" t="inlineStr">
        <is>
          <t>Serviço de Recepção (Inbound)</t>
        </is>
      </c>
      <c r="D13" s="417" t="n">
        <v>16</v>
      </c>
      <c r="E13" s="417" t="n">
        <v>24</v>
      </c>
      <c r="F13" s="417" t="n">
        <v>32</v>
      </c>
      <c r="G13" s="417" t="n">
        <v>48</v>
      </c>
      <c r="H13" s="417" t="n">
        <v>64</v>
      </c>
    </row>
    <row r="14">
      <c r="A14" s="416" t="inlineStr">
        <is>
          <t>Novo</t>
        </is>
      </c>
      <c r="B14" s="416" t="inlineStr">
        <is>
          <t>Integração</t>
        </is>
      </c>
      <c r="C14" s="416" t="inlineStr">
        <is>
          <t>Job / Rotina Assíncrona</t>
        </is>
      </c>
      <c r="D14" s="417" t="n">
        <v>12</v>
      </c>
      <c r="E14" s="417" t="n">
        <v>18</v>
      </c>
      <c r="F14" s="417" t="n">
        <v>24</v>
      </c>
      <c r="G14" s="417" t="n">
        <v>36</v>
      </c>
      <c r="H14" s="417" t="n">
        <v>48</v>
      </c>
    </row>
    <row r="15">
      <c r="A15" s="416" t="inlineStr">
        <is>
          <t>Novo</t>
        </is>
      </c>
      <c r="B15" s="416" t="inlineStr">
        <is>
          <t>Banco de Dados</t>
        </is>
      </c>
      <c r="C15" s="416" t="inlineStr">
        <is>
          <t>Modelagem / Entidade Básica</t>
        </is>
      </c>
      <c r="D15" s="417" t="n">
        <v>4</v>
      </c>
      <c r="E15" s="417" t="n">
        <v>6</v>
      </c>
      <c r="F15" s="417" t="n">
        <v>8</v>
      </c>
      <c r="G15" s="417" t="n">
        <v>12</v>
      </c>
      <c r="H15" s="417" t="n">
        <v>16</v>
      </c>
    </row>
    <row r="16">
      <c r="A16" s="416" t="inlineStr">
        <is>
          <t>Novo</t>
        </is>
      </c>
      <c r="B16" s="416" t="inlineStr">
        <is>
          <t>Banco de Dados</t>
        </is>
      </c>
      <c r="C16" s="416" t="inlineStr">
        <is>
          <t>View ou Query Complexa</t>
        </is>
      </c>
      <c r="D16" s="417" t="n">
        <v>8</v>
      </c>
      <c r="E16" s="417" t="n">
        <v>12</v>
      </c>
      <c r="F16" s="417" t="n">
        <v>16</v>
      </c>
      <c r="G16" s="417" t="n">
        <v>24</v>
      </c>
      <c r="H16" s="417" t="n">
        <v>32</v>
      </c>
    </row>
    <row r="17">
      <c r="A17" s="416" t="inlineStr">
        <is>
          <t>Novo</t>
        </is>
      </c>
      <c r="B17" s="416" t="inlineStr">
        <is>
          <t>Banco de Dados</t>
        </is>
      </c>
      <c r="C17" s="416" t="inlineStr">
        <is>
          <t>Script de Carga de Dados (ETL)</t>
        </is>
      </c>
      <c r="D17" s="417" t="n">
        <v>12</v>
      </c>
      <c r="E17" s="417" t="n">
        <v>18</v>
      </c>
      <c r="F17" s="417" t="n">
        <v>24</v>
      </c>
      <c r="G17" s="417" t="n">
        <v>36</v>
      </c>
      <c r="H17" s="417" t="n">
        <v>48</v>
      </c>
    </row>
    <row r="18">
      <c r="A18" s="416" t="inlineStr">
        <is>
          <t>Novo</t>
        </is>
      </c>
      <c r="B18" s="416" t="inlineStr">
        <is>
          <t>Outros</t>
        </is>
      </c>
      <c r="C18" s="416" t="inlineStr">
        <is>
          <t>Setup de Projeto Base</t>
        </is>
      </c>
      <c r="D18" s="417" t="n">
        <v>16</v>
      </c>
      <c r="E18" s="417" t="n">
        <v>24</v>
      </c>
      <c r="F18" s="417" t="n">
        <v>32</v>
      </c>
      <c r="G18" s="417" t="n">
        <v>48</v>
      </c>
      <c r="H18" s="417" t="n">
        <v>64</v>
      </c>
    </row>
    <row r="19">
      <c r="A19" s="416" t="inlineStr">
        <is>
          <t>Novo</t>
        </is>
      </c>
      <c r="B19" s="416" t="inlineStr">
        <is>
          <t>Outros</t>
        </is>
      </c>
      <c r="C19" s="416" t="inlineStr">
        <is>
          <t>Testes Unitários</t>
        </is>
      </c>
      <c r="D19" s="417" t="n">
        <v>8</v>
      </c>
      <c r="E19" s="417" t="n">
        <v>12</v>
      </c>
      <c r="F19" s="417" t="n">
        <v>16</v>
      </c>
      <c r="G19" s="417" t="n">
        <v>24</v>
      </c>
      <c r="H19" s="417" t="n">
        <v>32</v>
      </c>
    </row>
    <row r="20">
      <c r="A20" s="416" t="inlineStr">
        <is>
          <t>Novo</t>
        </is>
      </c>
      <c r="B20" s="416" t="inlineStr">
        <is>
          <t>Outros</t>
        </is>
      </c>
      <c r="C20" s="416" t="inlineStr">
        <is>
          <t>Documentação Técnica</t>
        </is>
      </c>
      <c r="D20" s="417" t="n">
        <v>8</v>
      </c>
      <c r="E20" s="417" t="n">
        <v>12</v>
      </c>
      <c r="F20" s="417" t="n">
        <v>16</v>
      </c>
      <c r="G20" s="417" t="n">
        <v>24</v>
      </c>
      <c r="H20" s="417" t="n">
        <v>32</v>
      </c>
    </row>
    <row r="21">
      <c r="A21" s="416" t="inlineStr">
        <is>
          <t>Ajuste</t>
        </is>
      </c>
      <c r="B21" s="416" t="inlineStr">
        <is>
          <t>Front-End</t>
        </is>
      </c>
      <c r="C21" s="416" t="inlineStr">
        <is>
          <t>Tela de Autenticação / Login</t>
        </is>
      </c>
      <c r="D21" s="417" t="n">
        <v>4.8</v>
      </c>
      <c r="E21" s="417" t="n">
        <v>7.2</v>
      </c>
      <c r="F21" s="417" t="n">
        <v>9.6</v>
      </c>
      <c r="G21" s="417" t="n">
        <v>14.4</v>
      </c>
      <c r="H21" s="417" t="n">
        <v>19.2</v>
      </c>
    </row>
    <row r="22">
      <c r="A22" s="416" t="inlineStr">
        <is>
          <t>Ajuste</t>
        </is>
      </c>
      <c r="B22" s="416" t="inlineStr">
        <is>
          <t>Front-End</t>
        </is>
      </c>
      <c r="C22" s="416" t="inlineStr">
        <is>
          <t>Formulário de Cadastro Simples</t>
        </is>
      </c>
      <c r="D22" s="417" t="n">
        <v>7.2</v>
      </c>
      <c r="E22" s="417" t="n">
        <v>10.8</v>
      </c>
      <c r="F22" s="417" t="n">
        <v>14.4</v>
      </c>
      <c r="G22" s="417" t="n">
        <v>21.6</v>
      </c>
      <c r="H22" s="417" t="n">
        <v>28.8</v>
      </c>
    </row>
    <row r="23">
      <c r="A23" s="416" t="inlineStr">
        <is>
          <t>Ajuste</t>
        </is>
      </c>
      <c r="B23" s="416" t="inlineStr">
        <is>
          <t>Front-End</t>
        </is>
      </c>
      <c r="C23" s="416" t="inlineStr">
        <is>
          <t>Formulário Mestre-Detalhe</t>
        </is>
      </c>
      <c r="D23" s="417" t="n">
        <v>14.4</v>
      </c>
      <c r="E23" s="417" t="n">
        <v>21.6</v>
      </c>
      <c r="F23" s="417" t="n">
        <v>28.8</v>
      </c>
      <c r="G23" s="417" t="n">
        <v>43.2</v>
      </c>
      <c r="H23" s="417" t="n">
        <v>57.6</v>
      </c>
    </row>
    <row r="24">
      <c r="A24" s="416" t="inlineStr">
        <is>
          <t>Ajuste</t>
        </is>
      </c>
      <c r="B24" s="416" t="inlineStr">
        <is>
          <t>Front-End</t>
        </is>
      </c>
      <c r="C24" s="416" t="inlineStr">
        <is>
          <t>Listagem / Grid</t>
        </is>
      </c>
      <c r="D24" s="417" t="n">
        <v>4.8</v>
      </c>
      <c r="E24" s="417" t="n">
        <v>7.2</v>
      </c>
      <c r="F24" s="417" t="n">
        <v>9.6</v>
      </c>
      <c r="G24" s="417" t="n">
        <v>14.4</v>
      </c>
      <c r="H24" s="417" t="n">
        <v>19.2</v>
      </c>
    </row>
    <row r="25">
      <c r="A25" s="416" t="inlineStr">
        <is>
          <t>Ajuste</t>
        </is>
      </c>
      <c r="B25" s="416" t="inlineStr">
        <is>
          <t>Front-End</t>
        </is>
      </c>
      <c r="C25" s="416" t="inlineStr">
        <is>
          <t>Dashboard / Relatório Gráfico</t>
        </is>
      </c>
      <c r="D25" s="417" t="n">
        <v>12</v>
      </c>
      <c r="E25" s="417" t="n">
        <v>18</v>
      </c>
      <c r="F25" s="417" t="n">
        <v>24</v>
      </c>
      <c r="G25" s="417" t="n">
        <v>36</v>
      </c>
      <c r="H25" s="417" t="n">
        <v>48</v>
      </c>
    </row>
    <row r="26">
      <c r="A26" s="416" t="inlineStr">
        <is>
          <t>Ajuste</t>
        </is>
      </c>
      <c r="B26" s="416" t="inlineStr">
        <is>
          <t>Front-End</t>
        </is>
      </c>
      <c r="C26" s="416" t="inlineStr">
        <is>
          <t>Componente Visual Customizado</t>
        </is>
      </c>
      <c r="D26" s="417" t="n">
        <v>7.2</v>
      </c>
      <c r="E26" s="417" t="n">
        <v>10.8</v>
      </c>
      <c r="F26" s="417" t="n">
        <v>14.4</v>
      </c>
      <c r="G26" s="417" t="n">
        <v>21.6</v>
      </c>
      <c r="H26" s="417" t="n">
        <v>28.8</v>
      </c>
    </row>
    <row r="27">
      <c r="A27" s="416" t="inlineStr">
        <is>
          <t>Ajuste</t>
        </is>
      </c>
      <c r="B27" s="416" t="inlineStr">
        <is>
          <t>Back-End</t>
        </is>
      </c>
      <c r="C27" s="416" t="inlineStr">
        <is>
          <t>Regra de Negócio Simples</t>
        </is>
      </c>
      <c r="D27" s="417" t="n">
        <v>3.6</v>
      </c>
      <c r="E27" s="417" t="n">
        <v>5.4</v>
      </c>
      <c r="F27" s="417" t="n">
        <v>7.2</v>
      </c>
      <c r="G27" s="417" t="n">
        <v>10.8</v>
      </c>
      <c r="H27" s="417" t="n">
        <v>14.4</v>
      </c>
    </row>
    <row r="28">
      <c r="A28" s="416" t="inlineStr">
        <is>
          <t>Ajuste</t>
        </is>
      </c>
      <c r="B28" s="416" t="inlineStr">
        <is>
          <t>Back-End</t>
        </is>
      </c>
      <c r="C28" s="416" t="inlineStr">
        <is>
          <t>Regra de Negócio Complexa</t>
        </is>
      </c>
      <c r="D28" s="417" t="n">
        <v>9.6</v>
      </c>
      <c r="E28" s="417" t="n">
        <v>14.4</v>
      </c>
      <c r="F28" s="417" t="n">
        <v>19.2</v>
      </c>
      <c r="G28" s="417" t="n">
        <v>28.8</v>
      </c>
      <c r="H28" s="417" t="n">
        <v>38.4</v>
      </c>
    </row>
    <row r="29">
      <c r="A29" s="416" t="inlineStr">
        <is>
          <t>Ajuste</t>
        </is>
      </c>
      <c r="B29" s="416" t="inlineStr">
        <is>
          <t>Back-End</t>
        </is>
      </c>
      <c r="C29" s="416" t="inlineStr">
        <is>
          <t>Endpoint de API (CRUD Padrão)</t>
        </is>
      </c>
      <c r="D29" s="417" t="n">
        <v>7.2</v>
      </c>
      <c r="E29" s="417" t="n">
        <v>10.8</v>
      </c>
      <c r="F29" s="417" t="n">
        <v>14.4</v>
      </c>
      <c r="G29" s="417" t="n">
        <v>21.6</v>
      </c>
      <c r="H29" s="417" t="n">
        <v>28.8</v>
      </c>
    </row>
    <row r="30">
      <c r="A30" s="416" t="inlineStr">
        <is>
          <t>Ajuste</t>
        </is>
      </c>
      <c r="B30" s="416" t="inlineStr">
        <is>
          <t>Back-End</t>
        </is>
      </c>
      <c r="C30" s="416" t="inlineStr">
        <is>
          <t>Gestão de Perfis / Permissões</t>
        </is>
      </c>
      <c r="D30" s="417" t="n">
        <v>4.8</v>
      </c>
      <c r="E30" s="417" t="n">
        <v>7.2</v>
      </c>
      <c r="F30" s="417" t="n">
        <v>9.6</v>
      </c>
      <c r="G30" s="417" t="n">
        <v>14.4</v>
      </c>
      <c r="H30" s="417" t="n">
        <v>19.2</v>
      </c>
    </row>
    <row r="31">
      <c r="A31" s="416" t="inlineStr">
        <is>
          <t>Ajuste</t>
        </is>
      </c>
      <c r="B31" s="416" t="inlineStr">
        <is>
          <t>Integração</t>
        </is>
      </c>
      <c r="C31" s="416" t="inlineStr">
        <is>
          <t>Consumo de API Externa (Outbound)</t>
        </is>
      </c>
      <c r="D31" s="417" t="n">
        <v>9.6</v>
      </c>
      <c r="E31" s="417" t="n">
        <v>14.4</v>
      </c>
      <c r="F31" s="417" t="n">
        <v>19.2</v>
      </c>
      <c r="G31" s="417" t="n">
        <v>28.8</v>
      </c>
      <c r="H31" s="417" t="n">
        <v>38.4</v>
      </c>
    </row>
    <row r="32">
      <c r="A32" s="416" t="inlineStr">
        <is>
          <t>Ajuste</t>
        </is>
      </c>
      <c r="B32" s="416" t="inlineStr">
        <is>
          <t>Integração</t>
        </is>
      </c>
      <c r="C32" s="416" t="inlineStr">
        <is>
          <t>Serviço de Recepção (Inbound)</t>
        </is>
      </c>
      <c r="D32" s="417" t="n">
        <v>9.6</v>
      </c>
      <c r="E32" s="417" t="n">
        <v>14.4</v>
      </c>
      <c r="F32" s="417" t="n">
        <v>19.2</v>
      </c>
      <c r="G32" s="417" t="n">
        <v>28.8</v>
      </c>
      <c r="H32" s="417" t="n">
        <v>38.4</v>
      </c>
    </row>
    <row r="33">
      <c r="A33" s="416" t="inlineStr">
        <is>
          <t>Ajuste</t>
        </is>
      </c>
      <c r="B33" s="416" t="inlineStr">
        <is>
          <t>Integração</t>
        </is>
      </c>
      <c r="C33" s="416" t="inlineStr">
        <is>
          <t>Job / Rotina Assíncrona</t>
        </is>
      </c>
      <c r="D33" s="417" t="n">
        <v>7.2</v>
      </c>
      <c r="E33" s="417" t="n">
        <v>10.8</v>
      </c>
      <c r="F33" s="417" t="n">
        <v>14.4</v>
      </c>
      <c r="G33" s="417" t="n">
        <v>21.6</v>
      </c>
      <c r="H33" s="417" t="n">
        <v>28.8</v>
      </c>
    </row>
    <row r="34">
      <c r="A34" s="416" t="inlineStr">
        <is>
          <t>Ajuste</t>
        </is>
      </c>
      <c r="B34" s="416" t="inlineStr">
        <is>
          <t>Banco de Dados</t>
        </is>
      </c>
      <c r="C34" s="416" t="inlineStr">
        <is>
          <t>Modelagem / Entidade Básica</t>
        </is>
      </c>
      <c r="D34" s="417" t="n">
        <v>2.4</v>
      </c>
      <c r="E34" s="417" t="n">
        <v>3.6</v>
      </c>
      <c r="F34" s="417" t="n">
        <v>4.8</v>
      </c>
      <c r="G34" s="417" t="n">
        <v>7.2</v>
      </c>
      <c r="H34" s="417" t="n">
        <v>9.6</v>
      </c>
    </row>
    <row r="35">
      <c r="A35" s="416" t="inlineStr">
        <is>
          <t>Ajuste</t>
        </is>
      </c>
      <c r="B35" s="416" t="inlineStr">
        <is>
          <t>Banco de Dados</t>
        </is>
      </c>
      <c r="C35" s="416" t="inlineStr">
        <is>
          <t>View ou Query Complexa</t>
        </is>
      </c>
      <c r="D35" s="417" t="n">
        <v>4.8</v>
      </c>
      <c r="E35" s="417" t="n">
        <v>7.2</v>
      </c>
      <c r="F35" s="417" t="n">
        <v>9.6</v>
      </c>
      <c r="G35" s="417" t="n">
        <v>14.4</v>
      </c>
      <c r="H35" s="417" t="n">
        <v>19.2</v>
      </c>
    </row>
    <row r="36">
      <c r="A36" s="416" t="inlineStr">
        <is>
          <t>Ajuste</t>
        </is>
      </c>
      <c r="B36" s="416" t="inlineStr">
        <is>
          <t>Banco de Dados</t>
        </is>
      </c>
      <c r="C36" s="416" t="inlineStr">
        <is>
          <t>Script de Carga de Dados (ETL)</t>
        </is>
      </c>
      <c r="D36" s="417" t="n">
        <v>7.2</v>
      </c>
      <c r="E36" s="417" t="n">
        <v>10.8</v>
      </c>
      <c r="F36" s="417" t="n">
        <v>14.4</v>
      </c>
      <c r="G36" s="417" t="n">
        <v>21.6</v>
      </c>
      <c r="H36" s="417" t="n">
        <v>28.8</v>
      </c>
    </row>
    <row r="37">
      <c r="A37" s="416" t="inlineStr">
        <is>
          <t>Ajuste</t>
        </is>
      </c>
      <c r="B37" s="416" t="inlineStr">
        <is>
          <t>Outros</t>
        </is>
      </c>
      <c r="C37" s="416" t="inlineStr">
        <is>
          <t>Setup de Projeto Base</t>
        </is>
      </c>
      <c r="D37" s="417" t="n">
        <v>9.6</v>
      </c>
      <c r="E37" s="417" t="n">
        <v>14.4</v>
      </c>
      <c r="F37" s="417" t="n">
        <v>19.2</v>
      </c>
      <c r="G37" s="417" t="n">
        <v>28.8</v>
      </c>
      <c r="H37" s="417" t="n">
        <v>38.4</v>
      </c>
    </row>
    <row r="38">
      <c r="A38" s="416" t="inlineStr">
        <is>
          <t>Ajuste</t>
        </is>
      </c>
      <c r="B38" s="416" t="inlineStr">
        <is>
          <t>Outros</t>
        </is>
      </c>
      <c r="C38" s="416" t="inlineStr">
        <is>
          <t>Testes Unitários</t>
        </is>
      </c>
      <c r="D38" s="417" t="n">
        <v>4.8</v>
      </c>
      <c r="E38" s="417" t="n">
        <v>7.2</v>
      </c>
      <c r="F38" s="417" t="n">
        <v>9.6</v>
      </c>
      <c r="G38" s="417" t="n">
        <v>14.4</v>
      </c>
      <c r="H38" s="417" t="n">
        <v>19.2</v>
      </c>
    </row>
    <row r="39">
      <c r="A39" s="416" t="inlineStr">
        <is>
          <t>Ajuste</t>
        </is>
      </c>
      <c r="B39" s="416" t="inlineStr">
        <is>
          <t>Outros</t>
        </is>
      </c>
      <c r="C39" s="416" t="inlineStr">
        <is>
          <t>Documentação Técnica</t>
        </is>
      </c>
      <c r="D39" s="417" t="n">
        <v>4.8</v>
      </c>
      <c r="E39" s="417" t="n">
        <v>7.2</v>
      </c>
      <c r="F39" s="417" t="n">
        <v>9.6</v>
      </c>
      <c r="G39" s="417" t="n">
        <v>14.4</v>
      </c>
      <c r="H39" s="417" t="n">
        <v>19.2</v>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cols>
    <col width="40" customWidth="1" min="1" max="1"/>
    <col width="100" customWidth="1" min="2" max="2"/>
  </cols>
  <sheetData>
    <row r="1">
      <c r="A1" s="415" t="inlineStr">
        <is>
          <t>Componente</t>
        </is>
      </c>
      <c r="B1" s="415" t="inlineStr">
        <is>
          <t>Descrição da Premissa e Escopo</t>
        </is>
      </c>
    </row>
    <row r="2">
      <c r="A2" s="416" t="inlineStr">
        <is>
          <t>Tela de Autenticação / Login</t>
        </is>
      </c>
      <c r="B2" s="418" t="inlineStr">
        <is>
          <t>Desenvolvimento de tela de login com integração a backend de autenticação (ex: JWT/OAuth).</t>
        </is>
      </c>
    </row>
    <row r="3">
      <c r="A3" s="416" t="inlineStr">
        <is>
          <t>Formulário de Cadastro Simples</t>
        </is>
      </c>
      <c r="B3" s="418" t="inlineStr">
        <is>
          <t>CRUD simples com até 5 campos padrão, persistência em BD, validações simples de front-end.</t>
        </is>
      </c>
    </row>
    <row r="4">
      <c r="A4" s="416" t="inlineStr">
        <is>
          <t>Formulário Mestre-Detalhe</t>
        </is>
      </c>
      <c r="B4" s="418" t="inlineStr">
        <is>
          <t>Tela complexa com abas ou listas associadas (ex: Pedido e Itens), com regras de interface dinâmicas.</t>
        </is>
      </c>
    </row>
    <row r="5">
      <c r="A5" s="416" t="inlineStr">
        <is>
          <t>Listagem / Grid</t>
        </is>
      </c>
      <c r="B5" s="418" t="inlineStr">
        <is>
          <t>Grid de dados com suporte a paginação, filtros por pelo menos 3 campos e ordenação de colunas.</t>
        </is>
      </c>
    </row>
    <row r="6">
      <c r="A6" s="416" t="inlineStr">
        <is>
          <t>Dashboard / Relatório Gráfico</t>
        </is>
      </c>
      <c r="B6" s="418" t="inlineStr">
        <is>
          <t>Tela que agrega múltiplos componentes visuais (gráficos de barra, pizza, linhas) baseados em diferentes origens de dados.</t>
        </is>
      </c>
    </row>
    <row r="7">
      <c r="A7" s="416" t="inlineStr">
        <is>
          <t>Componente Visual Customizado</t>
        </is>
      </c>
      <c r="B7" s="418" t="inlineStr">
        <is>
          <t>Criação de widget UI reutilizável que não é nativo da plataforma padrão.</t>
        </is>
      </c>
    </row>
    <row r="8">
      <c r="A8" s="416" t="inlineStr">
        <is>
          <t>Regra de Negócio Simples</t>
        </is>
      </c>
      <c r="B8" s="418" t="inlineStr">
        <is>
          <t>Validação de dados ou cálculo aritmético direto no fluxo da aplicação.</t>
        </is>
      </c>
    </row>
    <row r="9">
      <c r="A9" s="416" t="inlineStr">
        <is>
          <t>Regra de Negócio Complexa</t>
        </is>
      </c>
      <c r="B9" s="418" t="inlineStr">
        <is>
          <t>Processamento estruturado, consolidação de múltiplos modelos de dados ou algoritmo específico.</t>
        </is>
      </c>
    </row>
    <row r="10">
      <c r="A10" s="416" t="inlineStr">
        <is>
          <t>Endpoint de API (CRUD Padrão)</t>
        </is>
      </c>
      <c r="B10" s="418" t="inlineStr">
        <is>
          <t>Criação de rota RESTful para inserção, edição, leitura e deleção de uma entidade específica.</t>
        </is>
      </c>
    </row>
    <row r="11">
      <c r="A11" s="416" t="inlineStr">
        <is>
          <t>Gestão de Perfis / Permissões</t>
        </is>
      </c>
      <c r="B11" s="418" t="inlineStr">
        <is>
          <t>Verificação e bloqueio de funcionalidades baseado em roles e escopos de usuários.</t>
        </is>
      </c>
    </row>
    <row r="12">
      <c r="A12" s="416" t="inlineStr">
        <is>
          <t>Consumo de API Externa (Outbound)</t>
        </is>
      </c>
      <c r="B12" s="418" t="inlineStr">
        <is>
          <t>Integração cliente para consumir sistema de terceiro. Inclui parsing e tratamento de erro.</t>
        </is>
      </c>
    </row>
    <row r="13">
      <c r="A13" s="416" t="inlineStr">
        <is>
          <t>Serviço de Recepção (Inbound)</t>
        </is>
      </c>
      <c r="B13" s="418" t="inlineStr">
        <is>
          <t>Exposição de payload específico para recebimento de dados via webhook ou integração de parceiros.</t>
        </is>
      </c>
    </row>
    <row r="14">
      <c r="A14" s="416" t="inlineStr">
        <is>
          <t>Job / Rotina Assíncrona</t>
        </is>
      </c>
      <c r="B14" s="418" t="inlineStr">
        <is>
          <t>Processamento em background, scheduled tasks ou fila de execução (workers).</t>
        </is>
      </c>
    </row>
    <row r="15">
      <c r="A15" s="416" t="inlineStr">
        <is>
          <t>Modelagem / Entidade Básica</t>
        </is>
      </c>
      <c r="B15" s="418" t="inlineStr">
        <is>
          <t>Definição de tabelas, constraints e relacionamentos.</t>
        </is>
      </c>
    </row>
    <row r="16">
      <c r="A16" s="416" t="inlineStr">
        <is>
          <t>View ou Query Complexa</t>
        </is>
      </c>
      <c r="B16" s="418" t="inlineStr">
        <is>
          <t>Extração otimizada envolvendo múltiplos JOINs, subqueries e agregações.</t>
        </is>
      </c>
    </row>
    <row r="17">
      <c r="A17" s="416" t="inlineStr">
        <is>
          <t>Script de Carga de Dados (ETL)</t>
        </is>
      </c>
      <c r="B17" s="418" t="inlineStr">
        <is>
          <t>Script pontual para migração ou injeção de dados de configuração na inicialização.</t>
        </is>
      </c>
    </row>
    <row r="18">
      <c r="A18" s="416" t="inlineStr">
        <is>
          <t>Setup de Projeto Base</t>
        </is>
      </c>
      <c r="B18" s="418" t="inlineStr">
        <is>
          <t>Configuração inicial, arquitetura, dependências, injeção de dependência e scaffold.</t>
        </is>
      </c>
    </row>
    <row r="19">
      <c r="A19" s="416" t="inlineStr">
        <is>
          <t>Testes Unitários</t>
        </is>
      </c>
      <c r="B19" s="418" t="inlineStr">
        <is>
          <t>Criação de testes automatizados para cobertura dos métodos de negócios do componente em questão.</t>
        </is>
      </c>
    </row>
    <row r="20">
      <c r="A20" s="416" t="inlineStr">
        <is>
          <t>Documentação Técnica</t>
        </is>
      </c>
      <c r="B20" s="418" t="inlineStr">
        <is>
          <t>Elaboração de manual e detalhamento da arquitetura técnica / diagramas.</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H39"/>
  <sheetViews>
    <sheetView workbookViewId="0">
      <selection activeCell="A1" sqref="A1"/>
    </sheetView>
  </sheetViews>
  <sheetFormatPr baseColWidth="8" defaultRowHeight="15"/>
  <cols>
    <col width="15" customWidth="1" min="1" max="1"/>
    <col width="20" customWidth="1" min="2" max="2"/>
    <col width="40" customWidth="1" min="3" max="3"/>
    <col width="15" customWidth="1" min="4" max="4"/>
    <col width="15" customWidth="1" min="5" max="5"/>
    <col width="15" customWidth="1" min="6" max="6"/>
    <col width="15" customWidth="1" min="7" max="7"/>
    <col width="15" customWidth="1" min="8" max="8"/>
  </cols>
  <sheetData>
    <row r="1">
      <c r="A1" s="415" t="inlineStr">
        <is>
          <t>Tipo</t>
        </is>
      </c>
      <c r="B1" s="415" t="inlineStr">
        <is>
          <t>Categoria</t>
        </is>
      </c>
      <c r="C1" s="415" t="inlineStr">
        <is>
          <t>Componente</t>
        </is>
      </c>
      <c r="D1" s="415" t="inlineStr">
        <is>
          <t>Muito Baixa</t>
        </is>
      </c>
      <c r="E1" s="415" t="inlineStr">
        <is>
          <t>Baixa</t>
        </is>
      </c>
      <c r="F1" s="415" t="inlineStr">
        <is>
          <t>Média</t>
        </is>
      </c>
      <c r="G1" s="415" t="inlineStr">
        <is>
          <t>Alta</t>
        </is>
      </c>
      <c r="H1" s="415" t="inlineStr">
        <is>
          <t>Muito Alta</t>
        </is>
      </c>
    </row>
    <row r="2">
      <c r="A2" s="416" t="inlineStr">
        <is>
          <t>Novo</t>
        </is>
      </c>
      <c r="B2" s="416" t="inlineStr">
        <is>
          <t>Front-End</t>
        </is>
      </c>
      <c r="C2" s="416" t="inlineStr">
        <is>
          <t>Tela de Autenticação / Login</t>
        </is>
      </c>
      <c r="D2" s="417" t="n">
        <v>8</v>
      </c>
      <c r="E2" s="417" t="n">
        <v>12</v>
      </c>
      <c r="F2" s="417" t="n">
        <v>16</v>
      </c>
      <c r="G2" s="417" t="n">
        <v>24</v>
      </c>
      <c r="H2" s="417" t="n">
        <v>32</v>
      </c>
    </row>
    <row r="3">
      <c r="A3" s="416" t="inlineStr">
        <is>
          <t>Novo</t>
        </is>
      </c>
      <c r="B3" s="416" t="inlineStr">
        <is>
          <t>Front-End</t>
        </is>
      </c>
      <c r="C3" s="416" t="inlineStr">
        <is>
          <t>Formulário de Cadastro Simples</t>
        </is>
      </c>
      <c r="D3" s="417" t="n">
        <v>12</v>
      </c>
      <c r="E3" s="417" t="n">
        <v>18</v>
      </c>
      <c r="F3" s="417" t="n">
        <v>24</v>
      </c>
      <c r="G3" s="417" t="n">
        <v>36</v>
      </c>
      <c r="H3" s="417" t="n">
        <v>48</v>
      </c>
    </row>
    <row r="4">
      <c r="A4" s="416" t="inlineStr">
        <is>
          <t>Novo</t>
        </is>
      </c>
      <c r="B4" s="416" t="inlineStr">
        <is>
          <t>Front-End</t>
        </is>
      </c>
      <c r="C4" s="416" t="inlineStr">
        <is>
          <t>Formulário Mestre-Detalhe</t>
        </is>
      </c>
      <c r="D4" s="417" t="n">
        <v>24</v>
      </c>
      <c r="E4" s="417" t="n">
        <v>36</v>
      </c>
      <c r="F4" s="417" t="n">
        <v>48</v>
      </c>
      <c r="G4" s="417" t="n">
        <v>72</v>
      </c>
      <c r="H4" s="417" t="n">
        <v>96</v>
      </c>
    </row>
    <row r="5">
      <c r="A5" s="416" t="inlineStr">
        <is>
          <t>Novo</t>
        </is>
      </c>
      <c r="B5" s="416" t="inlineStr">
        <is>
          <t>Front-End</t>
        </is>
      </c>
      <c r="C5" s="416" t="inlineStr">
        <is>
          <t>Listagem / Grid</t>
        </is>
      </c>
      <c r="D5" s="417" t="n">
        <v>8</v>
      </c>
      <c r="E5" s="417" t="n">
        <v>12</v>
      </c>
      <c r="F5" s="417" t="n">
        <v>16</v>
      </c>
      <c r="G5" s="417" t="n">
        <v>24</v>
      </c>
      <c r="H5" s="417" t="n">
        <v>32</v>
      </c>
    </row>
    <row r="6">
      <c r="A6" s="416" t="inlineStr">
        <is>
          <t>Novo</t>
        </is>
      </c>
      <c r="B6" s="416" t="inlineStr">
        <is>
          <t>Front-End</t>
        </is>
      </c>
      <c r="C6" s="416" t="inlineStr">
        <is>
          <t>Dashboard / Relatório Gráfico</t>
        </is>
      </c>
      <c r="D6" s="417" t="n">
        <v>20</v>
      </c>
      <c r="E6" s="417" t="n">
        <v>30</v>
      </c>
      <c r="F6" s="417" t="n">
        <v>40</v>
      </c>
      <c r="G6" s="417" t="n">
        <v>60</v>
      </c>
      <c r="H6" s="417" t="n">
        <v>80</v>
      </c>
    </row>
    <row r="7">
      <c r="A7" s="416" t="inlineStr">
        <is>
          <t>Novo</t>
        </is>
      </c>
      <c r="B7" s="416" t="inlineStr">
        <is>
          <t>Front-End</t>
        </is>
      </c>
      <c r="C7" s="416" t="inlineStr">
        <is>
          <t>Componente Visual Customizado</t>
        </is>
      </c>
      <c r="D7" s="417" t="n">
        <v>12</v>
      </c>
      <c r="E7" s="417" t="n">
        <v>18</v>
      </c>
      <c r="F7" s="417" t="n">
        <v>24</v>
      </c>
      <c r="G7" s="417" t="n">
        <v>36</v>
      </c>
      <c r="H7" s="417" t="n">
        <v>48</v>
      </c>
    </row>
    <row r="8">
      <c r="A8" s="416" t="inlineStr">
        <is>
          <t>Novo</t>
        </is>
      </c>
      <c r="B8" s="416" t="inlineStr">
        <is>
          <t>Back-End</t>
        </is>
      </c>
      <c r="C8" s="416" t="inlineStr">
        <is>
          <t>Regra de Negócio Simples</t>
        </is>
      </c>
      <c r="D8" s="417" t="n">
        <v>6</v>
      </c>
      <c r="E8" s="417" t="n">
        <v>9</v>
      </c>
      <c r="F8" s="417" t="n">
        <v>12</v>
      </c>
      <c r="G8" s="417" t="n">
        <v>18</v>
      </c>
      <c r="H8" s="417" t="n">
        <v>24</v>
      </c>
    </row>
    <row r="9">
      <c r="A9" s="416" t="inlineStr">
        <is>
          <t>Novo</t>
        </is>
      </c>
      <c r="B9" s="416" t="inlineStr">
        <is>
          <t>Back-End</t>
        </is>
      </c>
      <c r="C9" s="416" t="inlineStr">
        <is>
          <t>Regra de Negócio Complexa</t>
        </is>
      </c>
      <c r="D9" s="417" t="n">
        <v>16</v>
      </c>
      <c r="E9" s="417" t="n">
        <v>24</v>
      </c>
      <c r="F9" s="417" t="n">
        <v>32</v>
      </c>
      <c r="G9" s="417" t="n">
        <v>48</v>
      </c>
      <c r="H9" s="417" t="n">
        <v>64</v>
      </c>
    </row>
    <row r="10">
      <c r="A10" s="416" t="inlineStr">
        <is>
          <t>Novo</t>
        </is>
      </c>
      <c r="B10" s="416" t="inlineStr">
        <is>
          <t>Back-End</t>
        </is>
      </c>
      <c r="C10" s="416" t="inlineStr">
        <is>
          <t>Endpoint de API (CRUD Padrão)</t>
        </is>
      </c>
      <c r="D10" s="417" t="n">
        <v>12</v>
      </c>
      <c r="E10" s="417" t="n">
        <v>18</v>
      </c>
      <c r="F10" s="417" t="n">
        <v>24</v>
      </c>
      <c r="G10" s="417" t="n">
        <v>36</v>
      </c>
      <c r="H10" s="417" t="n">
        <v>48</v>
      </c>
    </row>
    <row r="11">
      <c r="A11" s="416" t="inlineStr">
        <is>
          <t>Novo</t>
        </is>
      </c>
      <c r="B11" s="416" t="inlineStr">
        <is>
          <t>Back-End</t>
        </is>
      </c>
      <c r="C11" s="416" t="inlineStr">
        <is>
          <t>Gestão de Perfis / Permissões</t>
        </is>
      </c>
      <c r="D11" s="417" t="n">
        <v>8</v>
      </c>
      <c r="E11" s="417" t="n">
        <v>12</v>
      </c>
      <c r="F11" s="417" t="n">
        <v>16</v>
      </c>
      <c r="G11" s="417" t="n">
        <v>24</v>
      </c>
      <c r="H11" s="417" t="n">
        <v>32</v>
      </c>
    </row>
    <row r="12">
      <c r="A12" s="416" t="inlineStr">
        <is>
          <t>Novo</t>
        </is>
      </c>
      <c r="B12" s="416" t="inlineStr">
        <is>
          <t>Integração</t>
        </is>
      </c>
      <c r="C12" s="416" t="inlineStr">
        <is>
          <t>Consumo de API Externa (Outbound)</t>
        </is>
      </c>
      <c r="D12" s="417" t="n">
        <v>16</v>
      </c>
      <c r="E12" s="417" t="n">
        <v>24</v>
      </c>
      <c r="F12" s="417" t="n">
        <v>32</v>
      </c>
      <c r="G12" s="417" t="n">
        <v>48</v>
      </c>
      <c r="H12" s="417" t="n">
        <v>64</v>
      </c>
    </row>
    <row r="13">
      <c r="A13" s="416" t="inlineStr">
        <is>
          <t>Novo</t>
        </is>
      </c>
      <c r="B13" s="416" t="inlineStr">
        <is>
          <t>Integração</t>
        </is>
      </c>
      <c r="C13" s="416" t="inlineStr">
        <is>
          <t>Serviço de Recepção (Inbound)</t>
        </is>
      </c>
      <c r="D13" s="417" t="n">
        <v>16</v>
      </c>
      <c r="E13" s="417" t="n">
        <v>24</v>
      </c>
      <c r="F13" s="417" t="n">
        <v>32</v>
      </c>
      <c r="G13" s="417" t="n">
        <v>48</v>
      </c>
      <c r="H13" s="417" t="n">
        <v>64</v>
      </c>
    </row>
    <row r="14">
      <c r="A14" s="416" t="inlineStr">
        <is>
          <t>Novo</t>
        </is>
      </c>
      <c r="B14" s="416" t="inlineStr">
        <is>
          <t>Integração</t>
        </is>
      </c>
      <c r="C14" s="416" t="inlineStr">
        <is>
          <t>Job / Rotina Assíncrona</t>
        </is>
      </c>
      <c r="D14" s="417" t="n">
        <v>12</v>
      </c>
      <c r="E14" s="417" t="n">
        <v>18</v>
      </c>
      <c r="F14" s="417" t="n">
        <v>24</v>
      </c>
      <c r="G14" s="417" t="n">
        <v>36</v>
      </c>
      <c r="H14" s="417" t="n">
        <v>48</v>
      </c>
    </row>
    <row r="15">
      <c r="A15" s="416" t="inlineStr">
        <is>
          <t>Novo</t>
        </is>
      </c>
      <c r="B15" s="416" t="inlineStr">
        <is>
          <t>Banco de Dados</t>
        </is>
      </c>
      <c r="C15" s="416" t="inlineStr">
        <is>
          <t>Modelagem / Entidade Básica</t>
        </is>
      </c>
      <c r="D15" s="417" t="n">
        <v>4</v>
      </c>
      <c r="E15" s="417" t="n">
        <v>6</v>
      </c>
      <c r="F15" s="417" t="n">
        <v>8</v>
      </c>
      <c r="G15" s="417" t="n">
        <v>12</v>
      </c>
      <c r="H15" s="417" t="n">
        <v>16</v>
      </c>
    </row>
    <row r="16">
      <c r="A16" s="416" t="inlineStr">
        <is>
          <t>Novo</t>
        </is>
      </c>
      <c r="B16" s="416" t="inlineStr">
        <is>
          <t>Banco de Dados</t>
        </is>
      </c>
      <c r="C16" s="416" t="inlineStr">
        <is>
          <t>View ou Query Complexa</t>
        </is>
      </c>
      <c r="D16" s="417" t="n">
        <v>8</v>
      </c>
      <c r="E16" s="417" t="n">
        <v>12</v>
      </c>
      <c r="F16" s="417" t="n">
        <v>16</v>
      </c>
      <c r="G16" s="417" t="n">
        <v>24</v>
      </c>
      <c r="H16" s="417" t="n">
        <v>32</v>
      </c>
    </row>
    <row r="17">
      <c r="A17" s="416" t="inlineStr">
        <is>
          <t>Novo</t>
        </is>
      </c>
      <c r="B17" s="416" t="inlineStr">
        <is>
          <t>Banco de Dados</t>
        </is>
      </c>
      <c r="C17" s="416" t="inlineStr">
        <is>
          <t>Script de Carga de Dados (ETL)</t>
        </is>
      </c>
      <c r="D17" s="417" t="n">
        <v>12</v>
      </c>
      <c r="E17" s="417" t="n">
        <v>18</v>
      </c>
      <c r="F17" s="417" t="n">
        <v>24</v>
      </c>
      <c r="G17" s="417" t="n">
        <v>36</v>
      </c>
      <c r="H17" s="417" t="n">
        <v>48</v>
      </c>
    </row>
    <row r="18">
      <c r="A18" s="416" t="inlineStr">
        <is>
          <t>Novo</t>
        </is>
      </c>
      <c r="B18" s="416" t="inlineStr">
        <is>
          <t>Outros</t>
        </is>
      </c>
      <c r="C18" s="416" t="inlineStr">
        <is>
          <t>Setup de Projeto Base</t>
        </is>
      </c>
      <c r="D18" s="417" t="n">
        <v>16</v>
      </c>
      <c r="E18" s="417" t="n">
        <v>24</v>
      </c>
      <c r="F18" s="417" t="n">
        <v>32</v>
      </c>
      <c r="G18" s="417" t="n">
        <v>48</v>
      </c>
      <c r="H18" s="417" t="n">
        <v>64</v>
      </c>
    </row>
    <row r="19">
      <c r="A19" s="416" t="inlineStr">
        <is>
          <t>Novo</t>
        </is>
      </c>
      <c r="B19" s="416" t="inlineStr">
        <is>
          <t>Outros</t>
        </is>
      </c>
      <c r="C19" s="416" t="inlineStr">
        <is>
          <t>Testes Unitários</t>
        </is>
      </c>
      <c r="D19" s="417" t="n">
        <v>8</v>
      </c>
      <c r="E19" s="417" t="n">
        <v>12</v>
      </c>
      <c r="F19" s="417" t="n">
        <v>16</v>
      </c>
      <c r="G19" s="417" t="n">
        <v>24</v>
      </c>
      <c r="H19" s="417" t="n">
        <v>32</v>
      </c>
    </row>
    <row r="20">
      <c r="A20" s="416" t="inlineStr">
        <is>
          <t>Novo</t>
        </is>
      </c>
      <c r="B20" s="416" t="inlineStr">
        <is>
          <t>Outros</t>
        </is>
      </c>
      <c r="C20" s="416" t="inlineStr">
        <is>
          <t>Documentação Técnica</t>
        </is>
      </c>
      <c r="D20" s="417" t="n">
        <v>8</v>
      </c>
      <c r="E20" s="417" t="n">
        <v>12</v>
      </c>
      <c r="F20" s="417" t="n">
        <v>16</v>
      </c>
      <c r="G20" s="417" t="n">
        <v>24</v>
      </c>
      <c r="H20" s="417" t="n">
        <v>32</v>
      </c>
    </row>
    <row r="21">
      <c r="A21" s="416" t="inlineStr">
        <is>
          <t>Ajuste</t>
        </is>
      </c>
      <c r="B21" s="416" t="inlineStr">
        <is>
          <t>Front-End</t>
        </is>
      </c>
      <c r="C21" s="416" t="inlineStr">
        <is>
          <t>Tela de Autenticação / Login</t>
        </is>
      </c>
      <c r="D21" s="417" t="n">
        <v>4.8</v>
      </c>
      <c r="E21" s="417" t="n">
        <v>7.2</v>
      </c>
      <c r="F21" s="417" t="n">
        <v>9.6</v>
      </c>
      <c r="G21" s="417" t="n">
        <v>14.4</v>
      </c>
      <c r="H21" s="417" t="n">
        <v>19.2</v>
      </c>
    </row>
    <row r="22">
      <c r="A22" s="416" t="inlineStr">
        <is>
          <t>Ajuste</t>
        </is>
      </c>
      <c r="B22" s="416" t="inlineStr">
        <is>
          <t>Front-End</t>
        </is>
      </c>
      <c r="C22" s="416" t="inlineStr">
        <is>
          <t>Formulário de Cadastro Simples</t>
        </is>
      </c>
      <c r="D22" s="417" t="n">
        <v>7.2</v>
      </c>
      <c r="E22" s="417" t="n">
        <v>10.8</v>
      </c>
      <c r="F22" s="417" t="n">
        <v>14.4</v>
      </c>
      <c r="G22" s="417" t="n">
        <v>21.6</v>
      </c>
      <c r="H22" s="417" t="n">
        <v>28.8</v>
      </c>
    </row>
    <row r="23">
      <c r="A23" s="416" t="inlineStr">
        <is>
          <t>Ajuste</t>
        </is>
      </c>
      <c r="B23" s="416" t="inlineStr">
        <is>
          <t>Front-End</t>
        </is>
      </c>
      <c r="C23" s="416" t="inlineStr">
        <is>
          <t>Formulário Mestre-Detalhe</t>
        </is>
      </c>
      <c r="D23" s="417" t="n">
        <v>14.4</v>
      </c>
      <c r="E23" s="417" t="n">
        <v>21.6</v>
      </c>
      <c r="F23" s="417" t="n">
        <v>28.8</v>
      </c>
      <c r="G23" s="417" t="n">
        <v>43.2</v>
      </c>
      <c r="H23" s="417" t="n">
        <v>57.6</v>
      </c>
    </row>
    <row r="24">
      <c r="A24" s="416" t="inlineStr">
        <is>
          <t>Ajuste</t>
        </is>
      </c>
      <c r="B24" s="416" t="inlineStr">
        <is>
          <t>Front-End</t>
        </is>
      </c>
      <c r="C24" s="416" t="inlineStr">
        <is>
          <t>Listagem / Grid</t>
        </is>
      </c>
      <c r="D24" s="417" t="n">
        <v>4.8</v>
      </c>
      <c r="E24" s="417" t="n">
        <v>7.2</v>
      </c>
      <c r="F24" s="417" t="n">
        <v>9.6</v>
      </c>
      <c r="G24" s="417" t="n">
        <v>14.4</v>
      </c>
      <c r="H24" s="417" t="n">
        <v>19.2</v>
      </c>
    </row>
    <row r="25">
      <c r="A25" s="416" t="inlineStr">
        <is>
          <t>Ajuste</t>
        </is>
      </c>
      <c r="B25" s="416" t="inlineStr">
        <is>
          <t>Front-End</t>
        </is>
      </c>
      <c r="C25" s="416" t="inlineStr">
        <is>
          <t>Dashboard / Relatório Gráfico</t>
        </is>
      </c>
      <c r="D25" s="417" t="n">
        <v>12</v>
      </c>
      <c r="E25" s="417" t="n">
        <v>18</v>
      </c>
      <c r="F25" s="417" t="n">
        <v>24</v>
      </c>
      <c r="G25" s="417" t="n">
        <v>36</v>
      </c>
      <c r="H25" s="417" t="n">
        <v>48</v>
      </c>
    </row>
    <row r="26">
      <c r="A26" s="416" t="inlineStr">
        <is>
          <t>Ajuste</t>
        </is>
      </c>
      <c r="B26" s="416" t="inlineStr">
        <is>
          <t>Front-End</t>
        </is>
      </c>
      <c r="C26" s="416" t="inlineStr">
        <is>
          <t>Componente Visual Customizado</t>
        </is>
      </c>
      <c r="D26" s="417" t="n">
        <v>7.2</v>
      </c>
      <c r="E26" s="417" t="n">
        <v>10.8</v>
      </c>
      <c r="F26" s="417" t="n">
        <v>14.4</v>
      </c>
      <c r="G26" s="417" t="n">
        <v>21.6</v>
      </c>
      <c r="H26" s="417" t="n">
        <v>28.8</v>
      </c>
    </row>
    <row r="27">
      <c r="A27" s="416" t="inlineStr">
        <is>
          <t>Ajuste</t>
        </is>
      </c>
      <c r="B27" s="416" t="inlineStr">
        <is>
          <t>Back-End</t>
        </is>
      </c>
      <c r="C27" s="416" t="inlineStr">
        <is>
          <t>Regra de Negócio Simples</t>
        </is>
      </c>
      <c r="D27" s="417" t="n">
        <v>3.6</v>
      </c>
      <c r="E27" s="417" t="n">
        <v>5.4</v>
      </c>
      <c r="F27" s="417" t="n">
        <v>7.2</v>
      </c>
      <c r="G27" s="417" t="n">
        <v>10.8</v>
      </c>
      <c r="H27" s="417" t="n">
        <v>14.4</v>
      </c>
    </row>
    <row r="28">
      <c r="A28" s="416" t="inlineStr">
        <is>
          <t>Ajuste</t>
        </is>
      </c>
      <c r="B28" s="416" t="inlineStr">
        <is>
          <t>Back-End</t>
        </is>
      </c>
      <c r="C28" s="416" t="inlineStr">
        <is>
          <t>Regra de Negócio Complexa</t>
        </is>
      </c>
      <c r="D28" s="417" t="n">
        <v>9.6</v>
      </c>
      <c r="E28" s="417" t="n">
        <v>14.4</v>
      </c>
      <c r="F28" s="417" t="n">
        <v>19.2</v>
      </c>
      <c r="G28" s="417" t="n">
        <v>28.8</v>
      </c>
      <c r="H28" s="417" t="n">
        <v>38.4</v>
      </c>
    </row>
    <row r="29">
      <c r="A29" s="416" t="inlineStr">
        <is>
          <t>Ajuste</t>
        </is>
      </c>
      <c r="B29" s="416" t="inlineStr">
        <is>
          <t>Back-End</t>
        </is>
      </c>
      <c r="C29" s="416" t="inlineStr">
        <is>
          <t>Endpoint de API (CRUD Padrão)</t>
        </is>
      </c>
      <c r="D29" s="417" t="n">
        <v>7.2</v>
      </c>
      <c r="E29" s="417" t="n">
        <v>10.8</v>
      </c>
      <c r="F29" s="417" t="n">
        <v>14.4</v>
      </c>
      <c r="G29" s="417" t="n">
        <v>21.6</v>
      </c>
      <c r="H29" s="417" t="n">
        <v>28.8</v>
      </c>
    </row>
    <row r="30">
      <c r="A30" s="416" t="inlineStr">
        <is>
          <t>Ajuste</t>
        </is>
      </c>
      <c r="B30" s="416" t="inlineStr">
        <is>
          <t>Back-End</t>
        </is>
      </c>
      <c r="C30" s="416" t="inlineStr">
        <is>
          <t>Gestão de Perfis / Permissões</t>
        </is>
      </c>
      <c r="D30" s="417" t="n">
        <v>4.8</v>
      </c>
      <c r="E30" s="417" t="n">
        <v>7.2</v>
      </c>
      <c r="F30" s="417" t="n">
        <v>9.6</v>
      </c>
      <c r="G30" s="417" t="n">
        <v>14.4</v>
      </c>
      <c r="H30" s="417" t="n">
        <v>19.2</v>
      </c>
    </row>
    <row r="31">
      <c r="A31" s="416" t="inlineStr">
        <is>
          <t>Ajuste</t>
        </is>
      </c>
      <c r="B31" s="416" t="inlineStr">
        <is>
          <t>Integração</t>
        </is>
      </c>
      <c r="C31" s="416" t="inlineStr">
        <is>
          <t>Consumo de API Externa (Outbound)</t>
        </is>
      </c>
      <c r="D31" s="417" t="n">
        <v>9.6</v>
      </c>
      <c r="E31" s="417" t="n">
        <v>14.4</v>
      </c>
      <c r="F31" s="417" t="n">
        <v>19.2</v>
      </c>
      <c r="G31" s="417" t="n">
        <v>28.8</v>
      </c>
      <c r="H31" s="417" t="n">
        <v>38.4</v>
      </c>
    </row>
    <row r="32">
      <c r="A32" s="416" t="inlineStr">
        <is>
          <t>Ajuste</t>
        </is>
      </c>
      <c r="B32" s="416" t="inlineStr">
        <is>
          <t>Integração</t>
        </is>
      </c>
      <c r="C32" s="416" t="inlineStr">
        <is>
          <t>Serviço de Recepção (Inbound)</t>
        </is>
      </c>
      <c r="D32" s="417" t="n">
        <v>9.6</v>
      </c>
      <c r="E32" s="417" t="n">
        <v>14.4</v>
      </c>
      <c r="F32" s="417" t="n">
        <v>19.2</v>
      </c>
      <c r="G32" s="417" t="n">
        <v>28.8</v>
      </c>
      <c r="H32" s="417" t="n">
        <v>38.4</v>
      </c>
    </row>
    <row r="33">
      <c r="A33" s="416" t="inlineStr">
        <is>
          <t>Ajuste</t>
        </is>
      </c>
      <c r="B33" s="416" t="inlineStr">
        <is>
          <t>Integração</t>
        </is>
      </c>
      <c r="C33" s="416" t="inlineStr">
        <is>
          <t>Job / Rotina Assíncrona</t>
        </is>
      </c>
      <c r="D33" s="417" t="n">
        <v>7.2</v>
      </c>
      <c r="E33" s="417" t="n">
        <v>10.8</v>
      </c>
      <c r="F33" s="417" t="n">
        <v>14.4</v>
      </c>
      <c r="G33" s="417" t="n">
        <v>21.6</v>
      </c>
      <c r="H33" s="417" t="n">
        <v>28.8</v>
      </c>
    </row>
    <row r="34">
      <c r="A34" s="416" t="inlineStr">
        <is>
          <t>Ajuste</t>
        </is>
      </c>
      <c r="B34" s="416" t="inlineStr">
        <is>
          <t>Banco de Dados</t>
        </is>
      </c>
      <c r="C34" s="416" t="inlineStr">
        <is>
          <t>Modelagem / Entidade Básica</t>
        </is>
      </c>
      <c r="D34" s="417" t="n">
        <v>2.4</v>
      </c>
      <c r="E34" s="417" t="n">
        <v>3.6</v>
      </c>
      <c r="F34" s="417" t="n">
        <v>4.8</v>
      </c>
      <c r="G34" s="417" t="n">
        <v>7.2</v>
      </c>
      <c r="H34" s="417" t="n">
        <v>9.6</v>
      </c>
    </row>
    <row r="35">
      <c r="A35" s="416" t="inlineStr">
        <is>
          <t>Ajuste</t>
        </is>
      </c>
      <c r="B35" s="416" t="inlineStr">
        <is>
          <t>Banco de Dados</t>
        </is>
      </c>
      <c r="C35" s="416" t="inlineStr">
        <is>
          <t>View ou Query Complexa</t>
        </is>
      </c>
      <c r="D35" s="417" t="n">
        <v>4.8</v>
      </c>
      <c r="E35" s="417" t="n">
        <v>7.2</v>
      </c>
      <c r="F35" s="417" t="n">
        <v>9.6</v>
      </c>
      <c r="G35" s="417" t="n">
        <v>14.4</v>
      </c>
      <c r="H35" s="417" t="n">
        <v>19.2</v>
      </c>
    </row>
    <row r="36">
      <c r="A36" s="416" t="inlineStr">
        <is>
          <t>Ajuste</t>
        </is>
      </c>
      <c r="B36" s="416" t="inlineStr">
        <is>
          <t>Banco de Dados</t>
        </is>
      </c>
      <c r="C36" s="416" t="inlineStr">
        <is>
          <t>Script de Carga de Dados (ETL)</t>
        </is>
      </c>
      <c r="D36" s="417" t="n">
        <v>7.2</v>
      </c>
      <c r="E36" s="417" t="n">
        <v>10.8</v>
      </c>
      <c r="F36" s="417" t="n">
        <v>14.4</v>
      </c>
      <c r="G36" s="417" t="n">
        <v>21.6</v>
      </c>
      <c r="H36" s="417" t="n">
        <v>28.8</v>
      </c>
    </row>
    <row r="37">
      <c r="A37" s="416" t="inlineStr">
        <is>
          <t>Ajuste</t>
        </is>
      </c>
      <c r="B37" s="416" t="inlineStr">
        <is>
          <t>Outros</t>
        </is>
      </c>
      <c r="C37" s="416" t="inlineStr">
        <is>
          <t>Setup de Projeto Base</t>
        </is>
      </c>
      <c r="D37" s="417" t="n">
        <v>9.6</v>
      </c>
      <c r="E37" s="417" t="n">
        <v>14.4</v>
      </c>
      <c r="F37" s="417" t="n">
        <v>19.2</v>
      </c>
      <c r="G37" s="417" t="n">
        <v>28.8</v>
      </c>
      <c r="H37" s="417" t="n">
        <v>38.4</v>
      </c>
    </row>
    <row r="38">
      <c r="A38" s="416" t="inlineStr">
        <is>
          <t>Ajuste</t>
        </is>
      </c>
      <c r="B38" s="416" t="inlineStr">
        <is>
          <t>Outros</t>
        </is>
      </c>
      <c r="C38" s="416" t="inlineStr">
        <is>
          <t>Testes Unitários</t>
        </is>
      </c>
      <c r="D38" s="417" t="n">
        <v>4.8</v>
      </c>
      <c r="E38" s="417" t="n">
        <v>7.2</v>
      </c>
      <c r="F38" s="417" t="n">
        <v>9.6</v>
      </c>
      <c r="G38" s="417" t="n">
        <v>14.4</v>
      </c>
      <c r="H38" s="417" t="n">
        <v>19.2</v>
      </c>
    </row>
    <row r="39">
      <c r="A39" s="416" t="inlineStr">
        <is>
          <t>Ajuste</t>
        </is>
      </c>
      <c r="B39" s="416" t="inlineStr">
        <is>
          <t>Outros</t>
        </is>
      </c>
      <c r="C39" s="416" t="inlineStr">
        <is>
          <t>Documentação Técnica</t>
        </is>
      </c>
      <c r="D39" s="417" t="n">
        <v>4.8</v>
      </c>
      <c r="E39" s="417" t="n">
        <v>7.2</v>
      </c>
      <c r="F39" s="417" t="n">
        <v>9.6</v>
      </c>
      <c r="G39" s="417" t="n">
        <v>14.4</v>
      </c>
      <c r="H39" s="417" t="n">
        <v>19.2</v>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cols>
    <col width="40" customWidth="1" min="1" max="1"/>
    <col width="100" customWidth="1" min="2" max="2"/>
  </cols>
  <sheetData>
    <row r="1">
      <c r="A1" s="415" t="inlineStr">
        <is>
          <t>Componente</t>
        </is>
      </c>
      <c r="B1" s="415" t="inlineStr">
        <is>
          <t>Descrição da Premissa e Escopo</t>
        </is>
      </c>
    </row>
    <row r="2">
      <c r="A2" s="416" t="inlineStr">
        <is>
          <t>Tela de Autenticação / Login</t>
        </is>
      </c>
      <c r="B2" s="418" t="inlineStr">
        <is>
          <t>Desenvolvimento de tela de login com integração a backend de autenticação (ex: JWT/OAuth).</t>
        </is>
      </c>
    </row>
    <row r="3">
      <c r="A3" s="416" t="inlineStr">
        <is>
          <t>Formulário de Cadastro Simples</t>
        </is>
      </c>
      <c r="B3" s="418" t="inlineStr">
        <is>
          <t>CRUD simples com até 5 campos padrão, persistência em BD, validações simples de front-end.</t>
        </is>
      </c>
    </row>
    <row r="4">
      <c r="A4" s="416" t="inlineStr">
        <is>
          <t>Formulário Mestre-Detalhe</t>
        </is>
      </c>
      <c r="B4" s="418" t="inlineStr">
        <is>
          <t>Tela complexa com abas ou listas associadas (ex: Pedido e Itens), com regras de interface dinâmicas.</t>
        </is>
      </c>
    </row>
    <row r="5">
      <c r="A5" s="416" t="inlineStr">
        <is>
          <t>Listagem / Grid</t>
        </is>
      </c>
      <c r="B5" s="418" t="inlineStr">
        <is>
          <t>Grid de dados com suporte a paginação, filtros por pelo menos 3 campos e ordenação de colunas.</t>
        </is>
      </c>
    </row>
    <row r="6">
      <c r="A6" s="416" t="inlineStr">
        <is>
          <t>Dashboard / Relatório Gráfico</t>
        </is>
      </c>
      <c r="B6" s="418" t="inlineStr">
        <is>
          <t>Tela que agrega múltiplos componentes visuais (gráficos de barra, pizza, linhas) baseados em diferentes origens de dados.</t>
        </is>
      </c>
    </row>
    <row r="7">
      <c r="A7" s="416" t="inlineStr">
        <is>
          <t>Componente Visual Customizado</t>
        </is>
      </c>
      <c r="B7" s="418" t="inlineStr">
        <is>
          <t>Criação de widget UI reutilizável que não é nativo da plataforma padrão.</t>
        </is>
      </c>
    </row>
    <row r="8">
      <c r="A8" s="416" t="inlineStr">
        <is>
          <t>Regra de Negócio Simples</t>
        </is>
      </c>
      <c r="B8" s="418" t="inlineStr">
        <is>
          <t>Validação de dados ou cálculo aritmético direto no fluxo da aplicação.</t>
        </is>
      </c>
    </row>
    <row r="9">
      <c r="A9" s="416" t="inlineStr">
        <is>
          <t>Regra de Negócio Complexa</t>
        </is>
      </c>
      <c r="B9" s="418" t="inlineStr">
        <is>
          <t>Processamento estruturado, consolidação de múltiplos modelos de dados ou algoritmo específico.</t>
        </is>
      </c>
    </row>
    <row r="10">
      <c r="A10" s="416" t="inlineStr">
        <is>
          <t>Endpoint de API (CRUD Padrão)</t>
        </is>
      </c>
      <c r="B10" s="418" t="inlineStr">
        <is>
          <t>Criação de rota RESTful para inserção, edição, leitura e deleção de uma entidade específica.</t>
        </is>
      </c>
    </row>
    <row r="11">
      <c r="A11" s="416" t="inlineStr">
        <is>
          <t>Gestão de Perfis / Permissões</t>
        </is>
      </c>
      <c r="B11" s="418" t="inlineStr">
        <is>
          <t>Verificação e bloqueio de funcionalidades baseado em roles e escopos de usuários.</t>
        </is>
      </c>
    </row>
    <row r="12">
      <c r="A12" s="416" t="inlineStr">
        <is>
          <t>Consumo de API Externa (Outbound)</t>
        </is>
      </c>
      <c r="B12" s="418" t="inlineStr">
        <is>
          <t>Integração cliente para consumir sistema de terceiro. Inclui parsing e tratamento de erro.</t>
        </is>
      </c>
    </row>
    <row r="13">
      <c r="A13" s="416" t="inlineStr">
        <is>
          <t>Serviço de Recepção (Inbound)</t>
        </is>
      </c>
      <c r="B13" s="418" t="inlineStr">
        <is>
          <t>Exposição de payload específico para recebimento de dados via webhook ou integração de parceiros.</t>
        </is>
      </c>
    </row>
    <row r="14">
      <c r="A14" s="416" t="inlineStr">
        <is>
          <t>Job / Rotina Assíncrona</t>
        </is>
      </c>
      <c r="B14" s="418" t="inlineStr">
        <is>
          <t>Processamento em background, scheduled tasks ou fila de execução (workers).</t>
        </is>
      </c>
    </row>
    <row r="15">
      <c r="A15" s="416" t="inlineStr">
        <is>
          <t>Modelagem / Entidade Básica</t>
        </is>
      </c>
      <c r="B15" s="418" t="inlineStr">
        <is>
          <t>Definição de tabelas, constraints e relacionamentos.</t>
        </is>
      </c>
    </row>
    <row r="16">
      <c r="A16" s="416" t="inlineStr">
        <is>
          <t>View ou Query Complexa</t>
        </is>
      </c>
      <c r="B16" s="418" t="inlineStr">
        <is>
          <t>Extração otimizada envolvendo múltiplos JOINs, subqueries e agregações.</t>
        </is>
      </c>
    </row>
    <row r="17">
      <c r="A17" s="416" t="inlineStr">
        <is>
          <t>Script de Carga de Dados (ETL)</t>
        </is>
      </c>
      <c r="B17" s="418" t="inlineStr">
        <is>
          <t>Script pontual para migração ou injeção de dados de configuração na inicialização.</t>
        </is>
      </c>
    </row>
    <row r="18">
      <c r="A18" s="416" t="inlineStr">
        <is>
          <t>Setup de Projeto Base</t>
        </is>
      </c>
      <c r="B18" s="418" t="inlineStr">
        <is>
          <t>Configuração inicial, arquitetura, dependências, injeção de dependência e scaffold.</t>
        </is>
      </c>
    </row>
    <row r="19">
      <c r="A19" s="416" t="inlineStr">
        <is>
          <t>Testes Unitários</t>
        </is>
      </c>
      <c r="B19" s="418" t="inlineStr">
        <is>
          <t>Criação de testes automatizados para cobertura dos métodos de negócios do componente em questão.</t>
        </is>
      </c>
    </row>
    <row r="20">
      <c r="A20" s="416" t="inlineStr">
        <is>
          <t>Documentação Técnica</t>
        </is>
      </c>
      <c r="B20" s="418" t="inlineStr">
        <is>
          <t>Elaboração de manual e detalhamento da arquitetura técnica / diagramas.</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H39"/>
  <sheetViews>
    <sheetView workbookViewId="0">
      <selection activeCell="A1" sqref="A1"/>
    </sheetView>
  </sheetViews>
  <sheetFormatPr baseColWidth="8" defaultRowHeight="15"/>
  <cols>
    <col width="15" customWidth="1" min="1" max="1"/>
    <col width="20" customWidth="1" min="2" max="2"/>
    <col width="40" customWidth="1" min="3" max="3"/>
    <col width="15" customWidth="1" min="4" max="4"/>
    <col width="15" customWidth="1" min="5" max="5"/>
    <col width="15" customWidth="1" min="6" max="6"/>
    <col width="15" customWidth="1" min="7" max="7"/>
    <col width="15" customWidth="1" min="8" max="8"/>
  </cols>
  <sheetData>
    <row r="1">
      <c r="A1" s="415" t="inlineStr">
        <is>
          <t>Tipo</t>
        </is>
      </c>
      <c r="B1" s="415" t="inlineStr">
        <is>
          <t>Categoria</t>
        </is>
      </c>
      <c r="C1" s="415" t="inlineStr">
        <is>
          <t>Componente</t>
        </is>
      </c>
      <c r="D1" s="415" t="inlineStr">
        <is>
          <t>Muito Baixa</t>
        </is>
      </c>
      <c r="E1" s="415" t="inlineStr">
        <is>
          <t>Baixa</t>
        </is>
      </c>
      <c r="F1" s="415" t="inlineStr">
        <is>
          <t>Média</t>
        </is>
      </c>
      <c r="G1" s="415" t="inlineStr">
        <is>
          <t>Alta</t>
        </is>
      </c>
      <c r="H1" s="415" t="inlineStr">
        <is>
          <t>Muito Alta</t>
        </is>
      </c>
    </row>
    <row r="2">
      <c r="A2" s="416" t="inlineStr">
        <is>
          <t>Novo</t>
        </is>
      </c>
      <c r="B2" s="416" t="inlineStr">
        <is>
          <t>Front-End</t>
        </is>
      </c>
      <c r="C2" s="416" t="inlineStr">
        <is>
          <t>Tela de Autenticação / Login</t>
        </is>
      </c>
      <c r="D2" s="417" t="n">
        <v>8</v>
      </c>
      <c r="E2" s="417" t="n">
        <v>12</v>
      </c>
      <c r="F2" s="417" t="n">
        <v>16</v>
      </c>
      <c r="G2" s="417" t="n">
        <v>24</v>
      </c>
      <c r="H2" s="417" t="n">
        <v>32</v>
      </c>
    </row>
    <row r="3">
      <c r="A3" s="416" t="inlineStr">
        <is>
          <t>Novo</t>
        </is>
      </c>
      <c r="B3" s="416" t="inlineStr">
        <is>
          <t>Front-End</t>
        </is>
      </c>
      <c r="C3" s="416" t="inlineStr">
        <is>
          <t>Formulário de Cadastro Simples</t>
        </is>
      </c>
      <c r="D3" s="417" t="n">
        <v>12</v>
      </c>
      <c r="E3" s="417" t="n">
        <v>18</v>
      </c>
      <c r="F3" s="417" t="n">
        <v>24</v>
      </c>
      <c r="G3" s="417" t="n">
        <v>36</v>
      </c>
      <c r="H3" s="417" t="n">
        <v>48</v>
      </c>
    </row>
    <row r="4">
      <c r="A4" s="416" t="inlineStr">
        <is>
          <t>Novo</t>
        </is>
      </c>
      <c r="B4" s="416" t="inlineStr">
        <is>
          <t>Front-End</t>
        </is>
      </c>
      <c r="C4" s="416" t="inlineStr">
        <is>
          <t>Formulário Mestre-Detalhe</t>
        </is>
      </c>
      <c r="D4" s="417" t="n">
        <v>24</v>
      </c>
      <c r="E4" s="417" t="n">
        <v>36</v>
      </c>
      <c r="F4" s="417" t="n">
        <v>48</v>
      </c>
      <c r="G4" s="417" t="n">
        <v>72</v>
      </c>
      <c r="H4" s="417" t="n">
        <v>96</v>
      </c>
    </row>
    <row r="5">
      <c r="A5" s="416" t="inlineStr">
        <is>
          <t>Novo</t>
        </is>
      </c>
      <c r="B5" s="416" t="inlineStr">
        <is>
          <t>Front-End</t>
        </is>
      </c>
      <c r="C5" s="416" t="inlineStr">
        <is>
          <t>Listagem / Grid</t>
        </is>
      </c>
      <c r="D5" s="417" t="n">
        <v>8</v>
      </c>
      <c r="E5" s="417" t="n">
        <v>12</v>
      </c>
      <c r="F5" s="417" t="n">
        <v>16</v>
      </c>
      <c r="G5" s="417" t="n">
        <v>24</v>
      </c>
      <c r="H5" s="417" t="n">
        <v>32</v>
      </c>
    </row>
    <row r="6">
      <c r="A6" s="416" t="inlineStr">
        <is>
          <t>Novo</t>
        </is>
      </c>
      <c r="B6" s="416" t="inlineStr">
        <is>
          <t>Front-End</t>
        </is>
      </c>
      <c r="C6" s="416" t="inlineStr">
        <is>
          <t>Dashboard / Relatório Gráfico</t>
        </is>
      </c>
      <c r="D6" s="417" t="n">
        <v>20</v>
      </c>
      <c r="E6" s="417" t="n">
        <v>30</v>
      </c>
      <c r="F6" s="417" t="n">
        <v>40</v>
      </c>
      <c r="G6" s="417" t="n">
        <v>60</v>
      </c>
      <c r="H6" s="417" t="n">
        <v>80</v>
      </c>
    </row>
    <row r="7">
      <c r="A7" s="416" t="inlineStr">
        <is>
          <t>Novo</t>
        </is>
      </c>
      <c r="B7" s="416" t="inlineStr">
        <is>
          <t>Front-End</t>
        </is>
      </c>
      <c r="C7" s="416" t="inlineStr">
        <is>
          <t>Componente Visual Customizado</t>
        </is>
      </c>
      <c r="D7" s="417" t="n">
        <v>12</v>
      </c>
      <c r="E7" s="417" t="n">
        <v>18</v>
      </c>
      <c r="F7" s="417" t="n">
        <v>24</v>
      </c>
      <c r="G7" s="417" t="n">
        <v>36</v>
      </c>
      <c r="H7" s="417" t="n">
        <v>48</v>
      </c>
    </row>
    <row r="8">
      <c r="A8" s="416" t="inlineStr">
        <is>
          <t>Novo</t>
        </is>
      </c>
      <c r="B8" s="416" t="inlineStr">
        <is>
          <t>Back-End</t>
        </is>
      </c>
      <c r="C8" s="416" t="inlineStr">
        <is>
          <t>Regra de Negócio Simples</t>
        </is>
      </c>
      <c r="D8" s="417" t="n">
        <v>6</v>
      </c>
      <c r="E8" s="417" t="n">
        <v>9</v>
      </c>
      <c r="F8" s="417" t="n">
        <v>12</v>
      </c>
      <c r="G8" s="417" t="n">
        <v>18</v>
      </c>
      <c r="H8" s="417" t="n">
        <v>24</v>
      </c>
    </row>
    <row r="9">
      <c r="A9" s="416" t="inlineStr">
        <is>
          <t>Novo</t>
        </is>
      </c>
      <c r="B9" s="416" t="inlineStr">
        <is>
          <t>Back-End</t>
        </is>
      </c>
      <c r="C9" s="416" t="inlineStr">
        <is>
          <t>Regra de Negócio Complexa</t>
        </is>
      </c>
      <c r="D9" s="417" t="n">
        <v>16</v>
      </c>
      <c r="E9" s="417" t="n">
        <v>24</v>
      </c>
      <c r="F9" s="417" t="n">
        <v>32</v>
      </c>
      <c r="G9" s="417" t="n">
        <v>48</v>
      </c>
      <c r="H9" s="417" t="n">
        <v>64</v>
      </c>
    </row>
    <row r="10">
      <c r="A10" s="416" t="inlineStr">
        <is>
          <t>Novo</t>
        </is>
      </c>
      <c r="B10" s="416" t="inlineStr">
        <is>
          <t>Back-End</t>
        </is>
      </c>
      <c r="C10" s="416" t="inlineStr">
        <is>
          <t>Endpoint de API (CRUD Padrão)</t>
        </is>
      </c>
      <c r="D10" s="417" t="n">
        <v>12</v>
      </c>
      <c r="E10" s="417" t="n">
        <v>18</v>
      </c>
      <c r="F10" s="417" t="n">
        <v>24</v>
      </c>
      <c r="G10" s="417" t="n">
        <v>36</v>
      </c>
      <c r="H10" s="417" t="n">
        <v>48</v>
      </c>
    </row>
    <row r="11">
      <c r="A11" s="416" t="inlineStr">
        <is>
          <t>Novo</t>
        </is>
      </c>
      <c r="B11" s="416" t="inlineStr">
        <is>
          <t>Back-End</t>
        </is>
      </c>
      <c r="C11" s="416" t="inlineStr">
        <is>
          <t>Gestão de Perfis / Permissões</t>
        </is>
      </c>
      <c r="D11" s="417" t="n">
        <v>8</v>
      </c>
      <c r="E11" s="417" t="n">
        <v>12</v>
      </c>
      <c r="F11" s="417" t="n">
        <v>16</v>
      </c>
      <c r="G11" s="417" t="n">
        <v>24</v>
      </c>
      <c r="H11" s="417" t="n">
        <v>32</v>
      </c>
    </row>
    <row r="12">
      <c r="A12" s="416" t="inlineStr">
        <is>
          <t>Novo</t>
        </is>
      </c>
      <c r="B12" s="416" t="inlineStr">
        <is>
          <t>Integração</t>
        </is>
      </c>
      <c r="C12" s="416" t="inlineStr">
        <is>
          <t>Consumo de API Externa (Outbound)</t>
        </is>
      </c>
      <c r="D12" s="417" t="n">
        <v>16</v>
      </c>
      <c r="E12" s="417" t="n">
        <v>24</v>
      </c>
      <c r="F12" s="417" t="n">
        <v>32</v>
      </c>
      <c r="G12" s="417" t="n">
        <v>48</v>
      </c>
      <c r="H12" s="417" t="n">
        <v>64</v>
      </c>
    </row>
    <row r="13">
      <c r="A13" s="416" t="inlineStr">
        <is>
          <t>Novo</t>
        </is>
      </c>
      <c r="B13" s="416" t="inlineStr">
        <is>
          <t>Integração</t>
        </is>
      </c>
      <c r="C13" s="416" t="inlineStr">
        <is>
          <t>Serviço de Recepção (Inbound)</t>
        </is>
      </c>
      <c r="D13" s="417" t="n">
        <v>16</v>
      </c>
      <c r="E13" s="417" t="n">
        <v>24</v>
      </c>
      <c r="F13" s="417" t="n">
        <v>32</v>
      </c>
      <c r="G13" s="417" t="n">
        <v>48</v>
      </c>
      <c r="H13" s="417" t="n">
        <v>64</v>
      </c>
    </row>
    <row r="14">
      <c r="A14" s="416" t="inlineStr">
        <is>
          <t>Novo</t>
        </is>
      </c>
      <c r="B14" s="416" t="inlineStr">
        <is>
          <t>Integração</t>
        </is>
      </c>
      <c r="C14" s="416" t="inlineStr">
        <is>
          <t>Job / Rotina Assíncrona</t>
        </is>
      </c>
      <c r="D14" s="417" t="n">
        <v>12</v>
      </c>
      <c r="E14" s="417" t="n">
        <v>18</v>
      </c>
      <c r="F14" s="417" t="n">
        <v>24</v>
      </c>
      <c r="G14" s="417" t="n">
        <v>36</v>
      </c>
      <c r="H14" s="417" t="n">
        <v>48</v>
      </c>
    </row>
    <row r="15">
      <c r="A15" s="416" t="inlineStr">
        <is>
          <t>Novo</t>
        </is>
      </c>
      <c r="B15" s="416" t="inlineStr">
        <is>
          <t>Banco de Dados</t>
        </is>
      </c>
      <c r="C15" s="416" t="inlineStr">
        <is>
          <t>Modelagem / Entidade Básica</t>
        </is>
      </c>
      <c r="D15" s="417" t="n">
        <v>4</v>
      </c>
      <c r="E15" s="417" t="n">
        <v>6</v>
      </c>
      <c r="F15" s="417" t="n">
        <v>8</v>
      </c>
      <c r="G15" s="417" t="n">
        <v>12</v>
      </c>
      <c r="H15" s="417" t="n">
        <v>16</v>
      </c>
    </row>
    <row r="16">
      <c r="A16" s="416" t="inlineStr">
        <is>
          <t>Novo</t>
        </is>
      </c>
      <c r="B16" s="416" t="inlineStr">
        <is>
          <t>Banco de Dados</t>
        </is>
      </c>
      <c r="C16" s="416" t="inlineStr">
        <is>
          <t>View ou Query Complexa</t>
        </is>
      </c>
      <c r="D16" s="417" t="n">
        <v>8</v>
      </c>
      <c r="E16" s="417" t="n">
        <v>12</v>
      </c>
      <c r="F16" s="417" t="n">
        <v>16</v>
      </c>
      <c r="G16" s="417" t="n">
        <v>24</v>
      </c>
      <c r="H16" s="417" t="n">
        <v>32</v>
      </c>
    </row>
    <row r="17">
      <c r="A17" s="416" t="inlineStr">
        <is>
          <t>Novo</t>
        </is>
      </c>
      <c r="B17" s="416" t="inlineStr">
        <is>
          <t>Banco de Dados</t>
        </is>
      </c>
      <c r="C17" s="416" t="inlineStr">
        <is>
          <t>Script de Carga de Dados (ETL)</t>
        </is>
      </c>
      <c r="D17" s="417" t="n">
        <v>12</v>
      </c>
      <c r="E17" s="417" t="n">
        <v>18</v>
      </c>
      <c r="F17" s="417" t="n">
        <v>24</v>
      </c>
      <c r="G17" s="417" t="n">
        <v>36</v>
      </c>
      <c r="H17" s="417" t="n">
        <v>48</v>
      </c>
    </row>
    <row r="18">
      <c r="A18" s="416" t="inlineStr">
        <is>
          <t>Novo</t>
        </is>
      </c>
      <c r="B18" s="416" t="inlineStr">
        <is>
          <t>Outros</t>
        </is>
      </c>
      <c r="C18" s="416" t="inlineStr">
        <is>
          <t>Setup de Projeto Base</t>
        </is>
      </c>
      <c r="D18" s="417" t="n">
        <v>16</v>
      </c>
      <c r="E18" s="417" t="n">
        <v>24</v>
      </c>
      <c r="F18" s="417" t="n">
        <v>32</v>
      </c>
      <c r="G18" s="417" t="n">
        <v>48</v>
      </c>
      <c r="H18" s="417" t="n">
        <v>64</v>
      </c>
    </row>
    <row r="19">
      <c r="A19" s="416" t="inlineStr">
        <is>
          <t>Novo</t>
        </is>
      </c>
      <c r="B19" s="416" t="inlineStr">
        <is>
          <t>Outros</t>
        </is>
      </c>
      <c r="C19" s="416" t="inlineStr">
        <is>
          <t>Testes Unitários</t>
        </is>
      </c>
      <c r="D19" s="417" t="n">
        <v>8</v>
      </c>
      <c r="E19" s="417" t="n">
        <v>12</v>
      </c>
      <c r="F19" s="417" t="n">
        <v>16</v>
      </c>
      <c r="G19" s="417" t="n">
        <v>24</v>
      </c>
      <c r="H19" s="417" t="n">
        <v>32</v>
      </c>
    </row>
    <row r="20">
      <c r="A20" s="416" t="inlineStr">
        <is>
          <t>Novo</t>
        </is>
      </c>
      <c r="B20" s="416" t="inlineStr">
        <is>
          <t>Outros</t>
        </is>
      </c>
      <c r="C20" s="416" t="inlineStr">
        <is>
          <t>Documentação Técnica</t>
        </is>
      </c>
      <c r="D20" s="417" t="n">
        <v>8</v>
      </c>
      <c r="E20" s="417" t="n">
        <v>12</v>
      </c>
      <c r="F20" s="417" t="n">
        <v>16</v>
      </c>
      <c r="G20" s="417" t="n">
        <v>24</v>
      </c>
      <c r="H20" s="417" t="n">
        <v>32</v>
      </c>
    </row>
    <row r="21">
      <c r="A21" s="416" t="inlineStr">
        <is>
          <t>Ajuste</t>
        </is>
      </c>
      <c r="B21" s="416" t="inlineStr">
        <is>
          <t>Front-End</t>
        </is>
      </c>
      <c r="C21" s="416" t="inlineStr">
        <is>
          <t>Tela de Autenticação / Login</t>
        </is>
      </c>
      <c r="D21" s="417" t="n">
        <v>4.8</v>
      </c>
      <c r="E21" s="417" t="n">
        <v>7.2</v>
      </c>
      <c r="F21" s="417" t="n">
        <v>9.6</v>
      </c>
      <c r="G21" s="417" t="n">
        <v>14.4</v>
      </c>
      <c r="H21" s="417" t="n">
        <v>19.2</v>
      </c>
    </row>
    <row r="22">
      <c r="A22" s="416" t="inlineStr">
        <is>
          <t>Ajuste</t>
        </is>
      </c>
      <c r="B22" s="416" t="inlineStr">
        <is>
          <t>Front-End</t>
        </is>
      </c>
      <c r="C22" s="416" t="inlineStr">
        <is>
          <t>Formulário de Cadastro Simples</t>
        </is>
      </c>
      <c r="D22" s="417" t="n">
        <v>7.2</v>
      </c>
      <c r="E22" s="417" t="n">
        <v>10.8</v>
      </c>
      <c r="F22" s="417" t="n">
        <v>14.4</v>
      </c>
      <c r="G22" s="417" t="n">
        <v>21.6</v>
      </c>
      <c r="H22" s="417" t="n">
        <v>28.8</v>
      </c>
    </row>
    <row r="23">
      <c r="A23" s="416" t="inlineStr">
        <is>
          <t>Ajuste</t>
        </is>
      </c>
      <c r="B23" s="416" t="inlineStr">
        <is>
          <t>Front-End</t>
        </is>
      </c>
      <c r="C23" s="416" t="inlineStr">
        <is>
          <t>Formulário Mestre-Detalhe</t>
        </is>
      </c>
      <c r="D23" s="417" t="n">
        <v>14.4</v>
      </c>
      <c r="E23" s="417" t="n">
        <v>21.6</v>
      </c>
      <c r="F23" s="417" t="n">
        <v>28.8</v>
      </c>
      <c r="G23" s="417" t="n">
        <v>43.2</v>
      </c>
      <c r="H23" s="417" t="n">
        <v>57.6</v>
      </c>
    </row>
    <row r="24">
      <c r="A24" s="416" t="inlineStr">
        <is>
          <t>Ajuste</t>
        </is>
      </c>
      <c r="B24" s="416" t="inlineStr">
        <is>
          <t>Front-End</t>
        </is>
      </c>
      <c r="C24" s="416" t="inlineStr">
        <is>
          <t>Listagem / Grid</t>
        </is>
      </c>
      <c r="D24" s="417" t="n">
        <v>4.8</v>
      </c>
      <c r="E24" s="417" t="n">
        <v>7.2</v>
      </c>
      <c r="F24" s="417" t="n">
        <v>9.6</v>
      </c>
      <c r="G24" s="417" t="n">
        <v>14.4</v>
      </c>
      <c r="H24" s="417" t="n">
        <v>19.2</v>
      </c>
    </row>
    <row r="25">
      <c r="A25" s="416" t="inlineStr">
        <is>
          <t>Ajuste</t>
        </is>
      </c>
      <c r="B25" s="416" t="inlineStr">
        <is>
          <t>Front-End</t>
        </is>
      </c>
      <c r="C25" s="416" t="inlineStr">
        <is>
          <t>Dashboard / Relatório Gráfico</t>
        </is>
      </c>
      <c r="D25" s="417" t="n">
        <v>12</v>
      </c>
      <c r="E25" s="417" t="n">
        <v>18</v>
      </c>
      <c r="F25" s="417" t="n">
        <v>24</v>
      </c>
      <c r="G25" s="417" t="n">
        <v>36</v>
      </c>
      <c r="H25" s="417" t="n">
        <v>48</v>
      </c>
    </row>
    <row r="26">
      <c r="A26" s="416" t="inlineStr">
        <is>
          <t>Ajuste</t>
        </is>
      </c>
      <c r="B26" s="416" t="inlineStr">
        <is>
          <t>Front-End</t>
        </is>
      </c>
      <c r="C26" s="416" t="inlineStr">
        <is>
          <t>Componente Visual Customizado</t>
        </is>
      </c>
      <c r="D26" s="417" t="n">
        <v>7.2</v>
      </c>
      <c r="E26" s="417" t="n">
        <v>10.8</v>
      </c>
      <c r="F26" s="417" t="n">
        <v>14.4</v>
      </c>
      <c r="G26" s="417" t="n">
        <v>21.6</v>
      </c>
      <c r="H26" s="417" t="n">
        <v>28.8</v>
      </c>
    </row>
    <row r="27">
      <c r="A27" s="416" t="inlineStr">
        <is>
          <t>Ajuste</t>
        </is>
      </c>
      <c r="B27" s="416" t="inlineStr">
        <is>
          <t>Back-End</t>
        </is>
      </c>
      <c r="C27" s="416" t="inlineStr">
        <is>
          <t>Regra de Negócio Simples</t>
        </is>
      </c>
      <c r="D27" s="417" t="n">
        <v>3.6</v>
      </c>
      <c r="E27" s="417" t="n">
        <v>5.4</v>
      </c>
      <c r="F27" s="417" t="n">
        <v>7.2</v>
      </c>
      <c r="G27" s="417" t="n">
        <v>10.8</v>
      </c>
      <c r="H27" s="417" t="n">
        <v>14.4</v>
      </c>
    </row>
    <row r="28">
      <c r="A28" s="416" t="inlineStr">
        <is>
          <t>Ajuste</t>
        </is>
      </c>
      <c r="B28" s="416" t="inlineStr">
        <is>
          <t>Back-End</t>
        </is>
      </c>
      <c r="C28" s="416" t="inlineStr">
        <is>
          <t>Regra de Negócio Complexa</t>
        </is>
      </c>
      <c r="D28" s="417" t="n">
        <v>9.6</v>
      </c>
      <c r="E28" s="417" t="n">
        <v>14.4</v>
      </c>
      <c r="F28" s="417" t="n">
        <v>19.2</v>
      </c>
      <c r="G28" s="417" t="n">
        <v>28.8</v>
      </c>
      <c r="H28" s="417" t="n">
        <v>38.4</v>
      </c>
    </row>
    <row r="29">
      <c r="A29" s="416" t="inlineStr">
        <is>
          <t>Ajuste</t>
        </is>
      </c>
      <c r="B29" s="416" t="inlineStr">
        <is>
          <t>Back-End</t>
        </is>
      </c>
      <c r="C29" s="416" t="inlineStr">
        <is>
          <t>Endpoint de API (CRUD Padrão)</t>
        </is>
      </c>
      <c r="D29" s="417" t="n">
        <v>7.2</v>
      </c>
      <c r="E29" s="417" t="n">
        <v>10.8</v>
      </c>
      <c r="F29" s="417" t="n">
        <v>14.4</v>
      </c>
      <c r="G29" s="417" t="n">
        <v>21.6</v>
      </c>
      <c r="H29" s="417" t="n">
        <v>28.8</v>
      </c>
    </row>
    <row r="30">
      <c r="A30" s="416" t="inlineStr">
        <is>
          <t>Ajuste</t>
        </is>
      </c>
      <c r="B30" s="416" t="inlineStr">
        <is>
          <t>Back-End</t>
        </is>
      </c>
      <c r="C30" s="416" t="inlineStr">
        <is>
          <t>Gestão de Perfis / Permissões</t>
        </is>
      </c>
      <c r="D30" s="417" t="n">
        <v>4.8</v>
      </c>
      <c r="E30" s="417" t="n">
        <v>7.2</v>
      </c>
      <c r="F30" s="417" t="n">
        <v>9.6</v>
      </c>
      <c r="G30" s="417" t="n">
        <v>14.4</v>
      </c>
      <c r="H30" s="417" t="n">
        <v>19.2</v>
      </c>
    </row>
    <row r="31">
      <c r="A31" s="416" t="inlineStr">
        <is>
          <t>Ajuste</t>
        </is>
      </c>
      <c r="B31" s="416" t="inlineStr">
        <is>
          <t>Integração</t>
        </is>
      </c>
      <c r="C31" s="416" t="inlineStr">
        <is>
          <t>Consumo de API Externa (Outbound)</t>
        </is>
      </c>
      <c r="D31" s="417" t="n">
        <v>9.6</v>
      </c>
      <c r="E31" s="417" t="n">
        <v>14.4</v>
      </c>
      <c r="F31" s="417" t="n">
        <v>19.2</v>
      </c>
      <c r="G31" s="417" t="n">
        <v>28.8</v>
      </c>
      <c r="H31" s="417" t="n">
        <v>38.4</v>
      </c>
    </row>
    <row r="32">
      <c r="A32" s="416" t="inlineStr">
        <is>
          <t>Ajuste</t>
        </is>
      </c>
      <c r="B32" s="416" t="inlineStr">
        <is>
          <t>Integração</t>
        </is>
      </c>
      <c r="C32" s="416" t="inlineStr">
        <is>
          <t>Serviço de Recepção (Inbound)</t>
        </is>
      </c>
      <c r="D32" s="417" t="n">
        <v>9.6</v>
      </c>
      <c r="E32" s="417" t="n">
        <v>14.4</v>
      </c>
      <c r="F32" s="417" t="n">
        <v>19.2</v>
      </c>
      <c r="G32" s="417" t="n">
        <v>28.8</v>
      </c>
      <c r="H32" s="417" t="n">
        <v>38.4</v>
      </c>
    </row>
    <row r="33">
      <c r="A33" s="416" t="inlineStr">
        <is>
          <t>Ajuste</t>
        </is>
      </c>
      <c r="B33" s="416" t="inlineStr">
        <is>
          <t>Integração</t>
        </is>
      </c>
      <c r="C33" s="416" t="inlineStr">
        <is>
          <t>Job / Rotina Assíncrona</t>
        </is>
      </c>
      <c r="D33" s="417" t="n">
        <v>7.2</v>
      </c>
      <c r="E33" s="417" t="n">
        <v>10.8</v>
      </c>
      <c r="F33" s="417" t="n">
        <v>14.4</v>
      </c>
      <c r="G33" s="417" t="n">
        <v>21.6</v>
      </c>
      <c r="H33" s="417" t="n">
        <v>28.8</v>
      </c>
    </row>
    <row r="34">
      <c r="A34" s="416" t="inlineStr">
        <is>
          <t>Ajuste</t>
        </is>
      </c>
      <c r="B34" s="416" t="inlineStr">
        <is>
          <t>Banco de Dados</t>
        </is>
      </c>
      <c r="C34" s="416" t="inlineStr">
        <is>
          <t>Modelagem / Entidade Básica</t>
        </is>
      </c>
      <c r="D34" s="417" t="n">
        <v>2.4</v>
      </c>
      <c r="E34" s="417" t="n">
        <v>3.6</v>
      </c>
      <c r="F34" s="417" t="n">
        <v>4.8</v>
      </c>
      <c r="G34" s="417" t="n">
        <v>7.2</v>
      </c>
      <c r="H34" s="417" t="n">
        <v>9.6</v>
      </c>
    </row>
    <row r="35">
      <c r="A35" s="416" t="inlineStr">
        <is>
          <t>Ajuste</t>
        </is>
      </c>
      <c r="B35" s="416" t="inlineStr">
        <is>
          <t>Banco de Dados</t>
        </is>
      </c>
      <c r="C35" s="416" t="inlineStr">
        <is>
          <t>View ou Query Complexa</t>
        </is>
      </c>
      <c r="D35" s="417" t="n">
        <v>4.8</v>
      </c>
      <c r="E35" s="417" t="n">
        <v>7.2</v>
      </c>
      <c r="F35" s="417" t="n">
        <v>9.6</v>
      </c>
      <c r="G35" s="417" t="n">
        <v>14.4</v>
      </c>
      <c r="H35" s="417" t="n">
        <v>19.2</v>
      </c>
    </row>
    <row r="36">
      <c r="A36" s="416" t="inlineStr">
        <is>
          <t>Ajuste</t>
        </is>
      </c>
      <c r="B36" s="416" t="inlineStr">
        <is>
          <t>Banco de Dados</t>
        </is>
      </c>
      <c r="C36" s="416" t="inlineStr">
        <is>
          <t>Script de Carga de Dados (ETL)</t>
        </is>
      </c>
      <c r="D36" s="417" t="n">
        <v>7.2</v>
      </c>
      <c r="E36" s="417" t="n">
        <v>10.8</v>
      </c>
      <c r="F36" s="417" t="n">
        <v>14.4</v>
      </c>
      <c r="G36" s="417" t="n">
        <v>21.6</v>
      </c>
      <c r="H36" s="417" t="n">
        <v>28.8</v>
      </c>
    </row>
    <row r="37">
      <c r="A37" s="416" t="inlineStr">
        <is>
          <t>Ajuste</t>
        </is>
      </c>
      <c r="B37" s="416" t="inlineStr">
        <is>
          <t>Outros</t>
        </is>
      </c>
      <c r="C37" s="416" t="inlineStr">
        <is>
          <t>Setup de Projeto Base</t>
        </is>
      </c>
      <c r="D37" s="417" t="n">
        <v>9.6</v>
      </c>
      <c r="E37" s="417" t="n">
        <v>14.4</v>
      </c>
      <c r="F37" s="417" t="n">
        <v>19.2</v>
      </c>
      <c r="G37" s="417" t="n">
        <v>28.8</v>
      </c>
      <c r="H37" s="417" t="n">
        <v>38.4</v>
      </c>
    </row>
    <row r="38">
      <c r="A38" s="416" t="inlineStr">
        <is>
          <t>Ajuste</t>
        </is>
      </c>
      <c r="B38" s="416" t="inlineStr">
        <is>
          <t>Outros</t>
        </is>
      </c>
      <c r="C38" s="416" t="inlineStr">
        <is>
          <t>Testes Unitários</t>
        </is>
      </c>
      <c r="D38" s="417" t="n">
        <v>4.8</v>
      </c>
      <c r="E38" s="417" t="n">
        <v>7.2</v>
      </c>
      <c r="F38" s="417" t="n">
        <v>9.6</v>
      </c>
      <c r="G38" s="417" t="n">
        <v>14.4</v>
      </c>
      <c r="H38" s="417" t="n">
        <v>19.2</v>
      </c>
    </row>
    <row r="39">
      <c r="A39" s="416" t="inlineStr">
        <is>
          <t>Ajuste</t>
        </is>
      </c>
      <c r="B39" s="416" t="inlineStr">
        <is>
          <t>Outros</t>
        </is>
      </c>
      <c r="C39" s="416" t="inlineStr">
        <is>
          <t>Documentação Técnica</t>
        </is>
      </c>
      <c r="D39" s="417" t="n">
        <v>4.8</v>
      </c>
      <c r="E39" s="417" t="n">
        <v>7.2</v>
      </c>
      <c r="F39" s="417" t="n">
        <v>9.6</v>
      </c>
      <c r="G39" s="417" t="n">
        <v>14.4</v>
      </c>
      <c r="H39" s="417" t="n">
        <v>19.2</v>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cols>
    <col width="40" customWidth="1" min="1" max="1"/>
    <col width="100" customWidth="1" min="2" max="2"/>
  </cols>
  <sheetData>
    <row r="1">
      <c r="A1" s="415" t="inlineStr">
        <is>
          <t>Componente</t>
        </is>
      </c>
      <c r="B1" s="415" t="inlineStr">
        <is>
          <t>Descrição da Premissa e Escopo</t>
        </is>
      </c>
    </row>
    <row r="2">
      <c r="A2" s="416" t="inlineStr">
        <is>
          <t>Tela de Autenticação / Login</t>
        </is>
      </c>
      <c r="B2" s="418" t="inlineStr">
        <is>
          <t>Desenvolvimento de tela de login com integração a backend de autenticação (ex: JWT/OAuth).</t>
        </is>
      </c>
    </row>
    <row r="3">
      <c r="A3" s="416" t="inlineStr">
        <is>
          <t>Formulário de Cadastro Simples</t>
        </is>
      </c>
      <c r="B3" s="418" t="inlineStr">
        <is>
          <t>CRUD simples com até 5 campos padrão, persistência em BD, validações simples de front-end.</t>
        </is>
      </c>
    </row>
    <row r="4">
      <c r="A4" s="416" t="inlineStr">
        <is>
          <t>Formulário Mestre-Detalhe</t>
        </is>
      </c>
      <c r="B4" s="418" t="inlineStr">
        <is>
          <t>Tela complexa com abas ou listas associadas (ex: Pedido e Itens), com regras de interface dinâmicas.</t>
        </is>
      </c>
    </row>
    <row r="5">
      <c r="A5" s="416" t="inlineStr">
        <is>
          <t>Listagem / Grid</t>
        </is>
      </c>
      <c r="B5" s="418" t="inlineStr">
        <is>
          <t>Grid de dados com suporte a paginação, filtros por pelo menos 3 campos e ordenação de colunas.</t>
        </is>
      </c>
    </row>
    <row r="6">
      <c r="A6" s="416" t="inlineStr">
        <is>
          <t>Dashboard / Relatório Gráfico</t>
        </is>
      </c>
      <c r="B6" s="418" t="inlineStr">
        <is>
          <t>Tela que agrega múltiplos componentes visuais (gráficos de barra, pizza, linhas) baseados em diferentes origens de dados.</t>
        </is>
      </c>
    </row>
    <row r="7">
      <c r="A7" s="416" t="inlineStr">
        <is>
          <t>Componente Visual Customizado</t>
        </is>
      </c>
      <c r="B7" s="418" t="inlineStr">
        <is>
          <t>Criação de widget UI reutilizável que não é nativo da plataforma padrão.</t>
        </is>
      </c>
    </row>
    <row r="8">
      <c r="A8" s="416" t="inlineStr">
        <is>
          <t>Regra de Negócio Simples</t>
        </is>
      </c>
      <c r="B8" s="418" t="inlineStr">
        <is>
          <t>Validação de dados ou cálculo aritmético direto no fluxo da aplicação.</t>
        </is>
      </c>
    </row>
    <row r="9">
      <c r="A9" s="416" t="inlineStr">
        <is>
          <t>Regra de Negócio Complexa</t>
        </is>
      </c>
      <c r="B9" s="418" t="inlineStr">
        <is>
          <t>Processamento estruturado, consolidação de múltiplos modelos de dados ou algoritmo específico.</t>
        </is>
      </c>
    </row>
    <row r="10">
      <c r="A10" s="416" t="inlineStr">
        <is>
          <t>Endpoint de API (CRUD Padrão)</t>
        </is>
      </c>
      <c r="B10" s="418" t="inlineStr">
        <is>
          <t>Criação de rota RESTful para inserção, edição, leitura e deleção de uma entidade específica.</t>
        </is>
      </c>
    </row>
    <row r="11">
      <c r="A11" s="416" t="inlineStr">
        <is>
          <t>Gestão de Perfis / Permissões</t>
        </is>
      </c>
      <c r="B11" s="418" t="inlineStr">
        <is>
          <t>Verificação e bloqueio de funcionalidades baseado em roles e escopos de usuários.</t>
        </is>
      </c>
    </row>
    <row r="12">
      <c r="A12" s="416" t="inlineStr">
        <is>
          <t>Consumo de API Externa (Outbound)</t>
        </is>
      </c>
      <c r="B12" s="418" t="inlineStr">
        <is>
          <t>Integração cliente para consumir sistema de terceiro. Inclui parsing e tratamento de erro.</t>
        </is>
      </c>
    </row>
    <row r="13">
      <c r="A13" s="416" t="inlineStr">
        <is>
          <t>Serviço de Recepção (Inbound)</t>
        </is>
      </c>
      <c r="B13" s="418" t="inlineStr">
        <is>
          <t>Exposição de payload específico para recebimento de dados via webhook ou integração de parceiros.</t>
        </is>
      </c>
    </row>
    <row r="14">
      <c r="A14" s="416" t="inlineStr">
        <is>
          <t>Job / Rotina Assíncrona</t>
        </is>
      </c>
      <c r="B14" s="418" t="inlineStr">
        <is>
          <t>Processamento em background, scheduled tasks ou fila de execução (workers).</t>
        </is>
      </c>
    </row>
    <row r="15">
      <c r="A15" s="416" t="inlineStr">
        <is>
          <t>Modelagem / Entidade Básica</t>
        </is>
      </c>
      <c r="B15" s="418" t="inlineStr">
        <is>
          <t>Definição de tabelas, constraints e relacionamentos.</t>
        </is>
      </c>
    </row>
    <row r="16">
      <c r="A16" s="416" t="inlineStr">
        <is>
          <t>View ou Query Complexa</t>
        </is>
      </c>
      <c r="B16" s="418" t="inlineStr">
        <is>
          <t>Extração otimizada envolvendo múltiplos JOINs, subqueries e agregações.</t>
        </is>
      </c>
    </row>
    <row r="17">
      <c r="A17" s="416" t="inlineStr">
        <is>
          <t>Script de Carga de Dados (ETL)</t>
        </is>
      </c>
      <c r="B17" s="418" t="inlineStr">
        <is>
          <t>Script pontual para migração ou injeção de dados de configuração na inicialização.</t>
        </is>
      </c>
    </row>
    <row r="18">
      <c r="A18" s="416" t="inlineStr">
        <is>
          <t>Setup de Projeto Base</t>
        </is>
      </c>
      <c r="B18" s="418" t="inlineStr">
        <is>
          <t>Configuração inicial, arquitetura, dependências, injeção de dependência e scaffold.</t>
        </is>
      </c>
    </row>
    <row r="19">
      <c r="A19" s="416" t="inlineStr">
        <is>
          <t>Testes Unitários</t>
        </is>
      </c>
      <c r="B19" s="418" t="inlineStr">
        <is>
          <t>Criação de testes automatizados para cobertura dos métodos de negócios do componente em questão.</t>
        </is>
      </c>
    </row>
    <row r="20">
      <c r="A20" s="416" t="inlineStr">
        <is>
          <t>Documentação Técnica</t>
        </is>
      </c>
      <c r="B20" s="418" t="inlineStr">
        <is>
          <t>Elaboração de manual e detalhamento da arquitetura técnica / diagramas.</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H39"/>
  <sheetViews>
    <sheetView workbookViewId="0">
      <selection activeCell="A1" sqref="A1"/>
    </sheetView>
  </sheetViews>
  <sheetFormatPr baseColWidth="8" defaultRowHeight="15"/>
  <cols>
    <col width="15" customWidth="1" min="1" max="1"/>
    <col width="20" customWidth="1" min="2" max="2"/>
    <col width="40" customWidth="1" min="3" max="3"/>
    <col width="15" customWidth="1" min="4" max="4"/>
    <col width="15" customWidth="1" min="5" max="5"/>
    <col width="15" customWidth="1" min="6" max="6"/>
    <col width="15" customWidth="1" min="7" max="7"/>
    <col width="15" customWidth="1" min="8" max="8"/>
  </cols>
  <sheetData>
    <row r="1">
      <c r="A1" s="415" t="inlineStr">
        <is>
          <t>Tipo</t>
        </is>
      </c>
      <c r="B1" s="415" t="inlineStr">
        <is>
          <t>Categoria</t>
        </is>
      </c>
      <c r="C1" s="415" t="inlineStr">
        <is>
          <t>Componente</t>
        </is>
      </c>
      <c r="D1" s="415" t="inlineStr">
        <is>
          <t>Muito Baixa</t>
        </is>
      </c>
      <c r="E1" s="415" t="inlineStr">
        <is>
          <t>Baixa</t>
        </is>
      </c>
      <c r="F1" s="415" t="inlineStr">
        <is>
          <t>Média</t>
        </is>
      </c>
      <c r="G1" s="415" t="inlineStr">
        <is>
          <t>Alta</t>
        </is>
      </c>
      <c r="H1" s="415" t="inlineStr">
        <is>
          <t>Muito Alta</t>
        </is>
      </c>
    </row>
    <row r="2">
      <c r="A2" s="416" t="inlineStr">
        <is>
          <t>Novo</t>
        </is>
      </c>
      <c r="B2" s="416" t="inlineStr">
        <is>
          <t>Front-End</t>
        </is>
      </c>
      <c r="C2" s="416" t="inlineStr">
        <is>
          <t>Tela de Autenticação / Login</t>
        </is>
      </c>
      <c r="D2" s="417" t="n">
        <v>9.199999999999999</v>
      </c>
      <c r="E2" s="417" t="n">
        <v>13.8</v>
      </c>
      <c r="F2" s="417" t="n">
        <v>18.4</v>
      </c>
      <c r="G2" s="417" t="n">
        <v>27.6</v>
      </c>
      <c r="H2" s="417" t="n">
        <v>36.8</v>
      </c>
    </row>
    <row r="3">
      <c r="A3" s="416" t="inlineStr">
        <is>
          <t>Novo</t>
        </is>
      </c>
      <c r="B3" s="416" t="inlineStr">
        <is>
          <t>Front-End</t>
        </is>
      </c>
      <c r="C3" s="416" t="inlineStr">
        <is>
          <t>Formulário de Cadastro Simples</t>
        </is>
      </c>
      <c r="D3" s="417" t="n">
        <v>13.8</v>
      </c>
      <c r="E3" s="417" t="n">
        <v>20.7</v>
      </c>
      <c r="F3" s="417" t="n">
        <v>27.6</v>
      </c>
      <c r="G3" s="417" t="n">
        <v>41.4</v>
      </c>
      <c r="H3" s="417" t="n">
        <v>55.2</v>
      </c>
    </row>
    <row r="4">
      <c r="A4" s="416" t="inlineStr">
        <is>
          <t>Novo</t>
        </is>
      </c>
      <c r="B4" s="416" t="inlineStr">
        <is>
          <t>Front-End</t>
        </is>
      </c>
      <c r="C4" s="416" t="inlineStr">
        <is>
          <t>Formulário Mestre-Detalhe</t>
        </is>
      </c>
      <c r="D4" s="417" t="n">
        <v>27.6</v>
      </c>
      <c r="E4" s="417" t="n">
        <v>41.4</v>
      </c>
      <c r="F4" s="417" t="n">
        <v>55.2</v>
      </c>
      <c r="G4" s="417" t="n">
        <v>82.8</v>
      </c>
      <c r="H4" s="417" t="n">
        <v>110.4</v>
      </c>
    </row>
    <row r="5">
      <c r="A5" s="416" t="inlineStr">
        <is>
          <t>Novo</t>
        </is>
      </c>
      <c r="B5" s="416" t="inlineStr">
        <is>
          <t>Front-End</t>
        </is>
      </c>
      <c r="C5" s="416" t="inlineStr">
        <is>
          <t>Listagem / Grid</t>
        </is>
      </c>
      <c r="D5" s="417" t="n">
        <v>9.199999999999999</v>
      </c>
      <c r="E5" s="417" t="n">
        <v>13.8</v>
      </c>
      <c r="F5" s="417" t="n">
        <v>18.4</v>
      </c>
      <c r="G5" s="417" t="n">
        <v>27.6</v>
      </c>
      <c r="H5" s="417" t="n">
        <v>36.8</v>
      </c>
    </row>
    <row r="6">
      <c r="A6" s="416" t="inlineStr">
        <is>
          <t>Novo</t>
        </is>
      </c>
      <c r="B6" s="416" t="inlineStr">
        <is>
          <t>Front-End</t>
        </is>
      </c>
      <c r="C6" s="416" t="inlineStr">
        <is>
          <t>Dashboard / Relatório Gráfico</t>
        </is>
      </c>
      <c r="D6" s="417" t="n">
        <v>23</v>
      </c>
      <c r="E6" s="417" t="n">
        <v>34.5</v>
      </c>
      <c r="F6" s="417" t="n">
        <v>46</v>
      </c>
      <c r="G6" s="417" t="n">
        <v>69</v>
      </c>
      <c r="H6" s="417" t="n">
        <v>92</v>
      </c>
    </row>
    <row r="7">
      <c r="A7" s="416" t="inlineStr">
        <is>
          <t>Novo</t>
        </is>
      </c>
      <c r="B7" s="416" t="inlineStr">
        <is>
          <t>Front-End</t>
        </is>
      </c>
      <c r="C7" s="416" t="inlineStr">
        <is>
          <t>Componente Visual Customizado</t>
        </is>
      </c>
      <c r="D7" s="417" t="n">
        <v>13.8</v>
      </c>
      <c r="E7" s="417" t="n">
        <v>20.7</v>
      </c>
      <c r="F7" s="417" t="n">
        <v>27.6</v>
      </c>
      <c r="G7" s="417" t="n">
        <v>41.4</v>
      </c>
      <c r="H7" s="417" t="n">
        <v>55.2</v>
      </c>
    </row>
    <row r="8">
      <c r="A8" s="416" t="inlineStr">
        <is>
          <t>Novo</t>
        </is>
      </c>
      <c r="B8" s="416" t="inlineStr">
        <is>
          <t>Back-End</t>
        </is>
      </c>
      <c r="C8" s="416" t="inlineStr">
        <is>
          <t>Regra de Negócio Simples</t>
        </is>
      </c>
      <c r="D8" s="417" t="n">
        <v>6.9</v>
      </c>
      <c r="E8" s="417" t="n">
        <v>10.35</v>
      </c>
      <c r="F8" s="417" t="n">
        <v>13.8</v>
      </c>
      <c r="G8" s="417" t="n">
        <v>20.7</v>
      </c>
      <c r="H8" s="417" t="n">
        <v>27.6</v>
      </c>
    </row>
    <row r="9">
      <c r="A9" s="416" t="inlineStr">
        <is>
          <t>Novo</t>
        </is>
      </c>
      <c r="B9" s="416" t="inlineStr">
        <is>
          <t>Back-End</t>
        </is>
      </c>
      <c r="C9" s="416" t="inlineStr">
        <is>
          <t>Regra de Negócio Complexa</t>
        </is>
      </c>
      <c r="D9" s="417" t="n">
        <v>18.4</v>
      </c>
      <c r="E9" s="417" t="n">
        <v>27.6</v>
      </c>
      <c r="F9" s="417" t="n">
        <v>36.8</v>
      </c>
      <c r="G9" s="417" t="n">
        <v>55.2</v>
      </c>
      <c r="H9" s="417" t="n">
        <v>73.59999999999999</v>
      </c>
    </row>
    <row r="10">
      <c r="A10" s="416" t="inlineStr">
        <is>
          <t>Novo</t>
        </is>
      </c>
      <c r="B10" s="416" t="inlineStr">
        <is>
          <t>Back-End</t>
        </is>
      </c>
      <c r="C10" s="416" t="inlineStr">
        <is>
          <t>Endpoint de API (CRUD Padrão)</t>
        </is>
      </c>
      <c r="D10" s="417" t="n">
        <v>13.8</v>
      </c>
      <c r="E10" s="417" t="n">
        <v>20.7</v>
      </c>
      <c r="F10" s="417" t="n">
        <v>27.6</v>
      </c>
      <c r="G10" s="417" t="n">
        <v>41.4</v>
      </c>
      <c r="H10" s="417" t="n">
        <v>55.2</v>
      </c>
    </row>
    <row r="11">
      <c r="A11" s="416" t="inlineStr">
        <is>
          <t>Novo</t>
        </is>
      </c>
      <c r="B11" s="416" t="inlineStr">
        <is>
          <t>Back-End</t>
        </is>
      </c>
      <c r="C11" s="416" t="inlineStr">
        <is>
          <t>Gestão de Perfis / Permissões</t>
        </is>
      </c>
      <c r="D11" s="417" t="n">
        <v>9.199999999999999</v>
      </c>
      <c r="E11" s="417" t="n">
        <v>13.8</v>
      </c>
      <c r="F11" s="417" t="n">
        <v>18.4</v>
      </c>
      <c r="G11" s="417" t="n">
        <v>27.6</v>
      </c>
      <c r="H11" s="417" t="n">
        <v>36.8</v>
      </c>
    </row>
    <row r="12">
      <c r="A12" s="416" t="inlineStr">
        <is>
          <t>Novo</t>
        </is>
      </c>
      <c r="B12" s="416" t="inlineStr">
        <is>
          <t>Integração</t>
        </is>
      </c>
      <c r="C12" s="416" t="inlineStr">
        <is>
          <t>Consumo de API Externa (Outbound)</t>
        </is>
      </c>
      <c r="D12" s="417" t="n">
        <v>18.4</v>
      </c>
      <c r="E12" s="417" t="n">
        <v>27.6</v>
      </c>
      <c r="F12" s="417" t="n">
        <v>36.8</v>
      </c>
      <c r="G12" s="417" t="n">
        <v>55.2</v>
      </c>
      <c r="H12" s="417" t="n">
        <v>73.59999999999999</v>
      </c>
    </row>
    <row r="13">
      <c r="A13" s="416" t="inlineStr">
        <is>
          <t>Novo</t>
        </is>
      </c>
      <c r="B13" s="416" t="inlineStr">
        <is>
          <t>Integração</t>
        </is>
      </c>
      <c r="C13" s="416" t="inlineStr">
        <is>
          <t>Serviço de Recepção (Inbound)</t>
        </is>
      </c>
      <c r="D13" s="417" t="n">
        <v>18.4</v>
      </c>
      <c r="E13" s="417" t="n">
        <v>27.6</v>
      </c>
      <c r="F13" s="417" t="n">
        <v>36.8</v>
      </c>
      <c r="G13" s="417" t="n">
        <v>55.2</v>
      </c>
      <c r="H13" s="417" t="n">
        <v>73.59999999999999</v>
      </c>
    </row>
    <row r="14">
      <c r="A14" s="416" t="inlineStr">
        <is>
          <t>Novo</t>
        </is>
      </c>
      <c r="B14" s="416" t="inlineStr">
        <is>
          <t>Integração</t>
        </is>
      </c>
      <c r="C14" s="416" t="inlineStr">
        <is>
          <t>Job / Rotina Assíncrona</t>
        </is>
      </c>
      <c r="D14" s="417" t="n">
        <v>13.8</v>
      </c>
      <c r="E14" s="417" t="n">
        <v>20.7</v>
      </c>
      <c r="F14" s="417" t="n">
        <v>27.6</v>
      </c>
      <c r="G14" s="417" t="n">
        <v>41.4</v>
      </c>
      <c r="H14" s="417" t="n">
        <v>55.2</v>
      </c>
    </row>
    <row r="15">
      <c r="A15" s="416" t="inlineStr">
        <is>
          <t>Novo</t>
        </is>
      </c>
      <c r="B15" s="416" t="inlineStr">
        <is>
          <t>Banco de Dados</t>
        </is>
      </c>
      <c r="C15" s="416" t="inlineStr">
        <is>
          <t>Modelagem / Entidade Básica</t>
        </is>
      </c>
      <c r="D15" s="417" t="n">
        <v>4.6</v>
      </c>
      <c r="E15" s="417" t="n">
        <v>6.9</v>
      </c>
      <c r="F15" s="417" t="n">
        <v>9.199999999999999</v>
      </c>
      <c r="G15" s="417" t="n">
        <v>13.8</v>
      </c>
      <c r="H15" s="417" t="n">
        <v>18.4</v>
      </c>
    </row>
    <row r="16">
      <c r="A16" s="416" t="inlineStr">
        <is>
          <t>Novo</t>
        </is>
      </c>
      <c r="B16" s="416" t="inlineStr">
        <is>
          <t>Banco de Dados</t>
        </is>
      </c>
      <c r="C16" s="416" t="inlineStr">
        <is>
          <t>View ou Query Complexa</t>
        </is>
      </c>
      <c r="D16" s="417" t="n">
        <v>9.199999999999999</v>
      </c>
      <c r="E16" s="417" t="n">
        <v>13.8</v>
      </c>
      <c r="F16" s="417" t="n">
        <v>18.4</v>
      </c>
      <c r="G16" s="417" t="n">
        <v>27.6</v>
      </c>
      <c r="H16" s="417" t="n">
        <v>36.8</v>
      </c>
    </row>
    <row r="17">
      <c r="A17" s="416" t="inlineStr">
        <is>
          <t>Novo</t>
        </is>
      </c>
      <c r="B17" s="416" t="inlineStr">
        <is>
          <t>Banco de Dados</t>
        </is>
      </c>
      <c r="C17" s="416" t="inlineStr">
        <is>
          <t>Script de Carga de Dados (ETL)</t>
        </is>
      </c>
      <c r="D17" s="417" t="n">
        <v>13.8</v>
      </c>
      <c r="E17" s="417" t="n">
        <v>20.7</v>
      </c>
      <c r="F17" s="417" t="n">
        <v>27.6</v>
      </c>
      <c r="G17" s="417" t="n">
        <v>41.4</v>
      </c>
      <c r="H17" s="417" t="n">
        <v>55.2</v>
      </c>
    </row>
    <row r="18">
      <c r="A18" s="416" t="inlineStr">
        <is>
          <t>Novo</t>
        </is>
      </c>
      <c r="B18" s="416" t="inlineStr">
        <is>
          <t>Outros</t>
        </is>
      </c>
      <c r="C18" s="416" t="inlineStr">
        <is>
          <t>Setup de Projeto Base</t>
        </is>
      </c>
      <c r="D18" s="417" t="n">
        <v>18.4</v>
      </c>
      <c r="E18" s="417" t="n">
        <v>27.6</v>
      </c>
      <c r="F18" s="417" t="n">
        <v>36.8</v>
      </c>
      <c r="G18" s="417" t="n">
        <v>55.2</v>
      </c>
      <c r="H18" s="417" t="n">
        <v>73.59999999999999</v>
      </c>
    </row>
    <row r="19">
      <c r="A19" s="416" t="inlineStr">
        <is>
          <t>Novo</t>
        </is>
      </c>
      <c r="B19" s="416" t="inlineStr">
        <is>
          <t>Outros</t>
        </is>
      </c>
      <c r="C19" s="416" t="inlineStr">
        <is>
          <t>Testes Unitários</t>
        </is>
      </c>
      <c r="D19" s="417" t="n">
        <v>9.199999999999999</v>
      </c>
      <c r="E19" s="417" t="n">
        <v>13.8</v>
      </c>
      <c r="F19" s="417" t="n">
        <v>18.4</v>
      </c>
      <c r="G19" s="417" t="n">
        <v>27.6</v>
      </c>
      <c r="H19" s="417" t="n">
        <v>36.8</v>
      </c>
    </row>
    <row r="20">
      <c r="A20" s="416" t="inlineStr">
        <is>
          <t>Novo</t>
        </is>
      </c>
      <c r="B20" s="416" t="inlineStr">
        <is>
          <t>Outros</t>
        </is>
      </c>
      <c r="C20" s="416" t="inlineStr">
        <is>
          <t>Documentação Técnica</t>
        </is>
      </c>
      <c r="D20" s="417" t="n">
        <v>9.199999999999999</v>
      </c>
      <c r="E20" s="417" t="n">
        <v>13.8</v>
      </c>
      <c r="F20" s="417" t="n">
        <v>18.4</v>
      </c>
      <c r="G20" s="417" t="n">
        <v>27.6</v>
      </c>
      <c r="H20" s="417" t="n">
        <v>36.8</v>
      </c>
    </row>
    <row r="21">
      <c r="A21" s="416" t="inlineStr">
        <is>
          <t>Ajuste</t>
        </is>
      </c>
      <c r="B21" s="416" t="inlineStr">
        <is>
          <t>Front-End</t>
        </is>
      </c>
      <c r="C21" s="416" t="inlineStr">
        <is>
          <t>Tela de Autenticação / Login</t>
        </is>
      </c>
      <c r="D21" s="417" t="n">
        <v>5.52</v>
      </c>
      <c r="E21" s="417" t="n">
        <v>8.279999999999999</v>
      </c>
      <c r="F21" s="417" t="n">
        <v>11.04</v>
      </c>
      <c r="G21" s="417" t="n">
        <v>16.56</v>
      </c>
      <c r="H21" s="417" t="n">
        <v>22.08</v>
      </c>
    </row>
    <row r="22">
      <c r="A22" s="416" t="inlineStr">
        <is>
          <t>Ajuste</t>
        </is>
      </c>
      <c r="B22" s="416" t="inlineStr">
        <is>
          <t>Front-End</t>
        </is>
      </c>
      <c r="C22" s="416" t="inlineStr">
        <is>
          <t>Formulário de Cadastro Simples</t>
        </is>
      </c>
      <c r="D22" s="417" t="n">
        <v>8.279999999999999</v>
      </c>
      <c r="E22" s="417" t="n">
        <v>12.42</v>
      </c>
      <c r="F22" s="417" t="n">
        <v>16.56</v>
      </c>
      <c r="G22" s="417" t="n">
        <v>24.84</v>
      </c>
      <c r="H22" s="417" t="n">
        <v>33.12</v>
      </c>
    </row>
    <row r="23">
      <c r="A23" s="416" t="inlineStr">
        <is>
          <t>Ajuste</t>
        </is>
      </c>
      <c r="B23" s="416" t="inlineStr">
        <is>
          <t>Front-End</t>
        </is>
      </c>
      <c r="C23" s="416" t="inlineStr">
        <is>
          <t>Formulário Mestre-Detalhe</t>
        </is>
      </c>
      <c r="D23" s="417" t="n">
        <v>16.56</v>
      </c>
      <c r="E23" s="417" t="n">
        <v>24.84</v>
      </c>
      <c r="F23" s="417" t="n">
        <v>33.12</v>
      </c>
      <c r="G23" s="417" t="n">
        <v>49.68</v>
      </c>
      <c r="H23" s="417" t="n">
        <v>66.23999999999999</v>
      </c>
    </row>
    <row r="24">
      <c r="A24" s="416" t="inlineStr">
        <is>
          <t>Ajuste</t>
        </is>
      </c>
      <c r="B24" s="416" t="inlineStr">
        <is>
          <t>Front-End</t>
        </is>
      </c>
      <c r="C24" s="416" t="inlineStr">
        <is>
          <t>Listagem / Grid</t>
        </is>
      </c>
      <c r="D24" s="417" t="n">
        <v>5.52</v>
      </c>
      <c r="E24" s="417" t="n">
        <v>8.279999999999999</v>
      </c>
      <c r="F24" s="417" t="n">
        <v>11.04</v>
      </c>
      <c r="G24" s="417" t="n">
        <v>16.56</v>
      </c>
      <c r="H24" s="417" t="n">
        <v>22.08</v>
      </c>
    </row>
    <row r="25">
      <c r="A25" s="416" t="inlineStr">
        <is>
          <t>Ajuste</t>
        </is>
      </c>
      <c r="B25" s="416" t="inlineStr">
        <is>
          <t>Front-End</t>
        </is>
      </c>
      <c r="C25" s="416" t="inlineStr">
        <is>
          <t>Dashboard / Relatório Gráfico</t>
        </is>
      </c>
      <c r="D25" s="417" t="n">
        <v>13.8</v>
      </c>
      <c r="E25" s="417" t="n">
        <v>20.7</v>
      </c>
      <c r="F25" s="417" t="n">
        <v>27.6</v>
      </c>
      <c r="G25" s="417" t="n">
        <v>41.4</v>
      </c>
      <c r="H25" s="417" t="n">
        <v>55.2</v>
      </c>
    </row>
    <row r="26">
      <c r="A26" s="416" t="inlineStr">
        <is>
          <t>Ajuste</t>
        </is>
      </c>
      <c r="B26" s="416" t="inlineStr">
        <is>
          <t>Front-End</t>
        </is>
      </c>
      <c r="C26" s="416" t="inlineStr">
        <is>
          <t>Componente Visual Customizado</t>
        </is>
      </c>
      <c r="D26" s="417" t="n">
        <v>8.279999999999999</v>
      </c>
      <c r="E26" s="417" t="n">
        <v>12.42</v>
      </c>
      <c r="F26" s="417" t="n">
        <v>16.56</v>
      </c>
      <c r="G26" s="417" t="n">
        <v>24.84</v>
      </c>
      <c r="H26" s="417" t="n">
        <v>33.12</v>
      </c>
    </row>
    <row r="27">
      <c r="A27" s="416" t="inlineStr">
        <is>
          <t>Ajuste</t>
        </is>
      </c>
      <c r="B27" s="416" t="inlineStr">
        <is>
          <t>Back-End</t>
        </is>
      </c>
      <c r="C27" s="416" t="inlineStr">
        <is>
          <t>Regra de Negócio Simples</t>
        </is>
      </c>
      <c r="D27" s="417" t="n">
        <v>4.14</v>
      </c>
      <c r="E27" s="417" t="n">
        <v>6.21</v>
      </c>
      <c r="F27" s="417" t="n">
        <v>8.279999999999999</v>
      </c>
      <c r="G27" s="417" t="n">
        <v>12.42</v>
      </c>
      <c r="H27" s="417" t="n">
        <v>16.56</v>
      </c>
    </row>
    <row r="28">
      <c r="A28" s="416" t="inlineStr">
        <is>
          <t>Ajuste</t>
        </is>
      </c>
      <c r="B28" s="416" t="inlineStr">
        <is>
          <t>Back-End</t>
        </is>
      </c>
      <c r="C28" s="416" t="inlineStr">
        <is>
          <t>Regra de Negócio Complexa</t>
        </is>
      </c>
      <c r="D28" s="417" t="n">
        <v>11.04</v>
      </c>
      <c r="E28" s="417" t="n">
        <v>16.56</v>
      </c>
      <c r="F28" s="417" t="n">
        <v>22.08</v>
      </c>
      <c r="G28" s="417" t="n">
        <v>33.12</v>
      </c>
      <c r="H28" s="417" t="n">
        <v>44.16</v>
      </c>
    </row>
    <row r="29">
      <c r="A29" s="416" t="inlineStr">
        <is>
          <t>Ajuste</t>
        </is>
      </c>
      <c r="B29" s="416" t="inlineStr">
        <is>
          <t>Back-End</t>
        </is>
      </c>
      <c r="C29" s="416" t="inlineStr">
        <is>
          <t>Endpoint de API (CRUD Padrão)</t>
        </is>
      </c>
      <c r="D29" s="417" t="n">
        <v>8.279999999999999</v>
      </c>
      <c r="E29" s="417" t="n">
        <v>12.42</v>
      </c>
      <c r="F29" s="417" t="n">
        <v>16.56</v>
      </c>
      <c r="G29" s="417" t="n">
        <v>24.84</v>
      </c>
      <c r="H29" s="417" t="n">
        <v>33.12</v>
      </c>
    </row>
    <row r="30">
      <c r="A30" s="416" t="inlineStr">
        <is>
          <t>Ajuste</t>
        </is>
      </c>
      <c r="B30" s="416" t="inlineStr">
        <is>
          <t>Back-End</t>
        </is>
      </c>
      <c r="C30" s="416" t="inlineStr">
        <is>
          <t>Gestão de Perfis / Permissões</t>
        </is>
      </c>
      <c r="D30" s="417" t="n">
        <v>5.52</v>
      </c>
      <c r="E30" s="417" t="n">
        <v>8.279999999999999</v>
      </c>
      <c r="F30" s="417" t="n">
        <v>11.04</v>
      </c>
      <c r="G30" s="417" t="n">
        <v>16.56</v>
      </c>
      <c r="H30" s="417" t="n">
        <v>22.08</v>
      </c>
    </row>
    <row r="31">
      <c r="A31" s="416" t="inlineStr">
        <is>
          <t>Ajuste</t>
        </is>
      </c>
      <c r="B31" s="416" t="inlineStr">
        <is>
          <t>Integração</t>
        </is>
      </c>
      <c r="C31" s="416" t="inlineStr">
        <is>
          <t>Consumo de API Externa (Outbound)</t>
        </is>
      </c>
      <c r="D31" s="417" t="n">
        <v>11.04</v>
      </c>
      <c r="E31" s="417" t="n">
        <v>16.56</v>
      </c>
      <c r="F31" s="417" t="n">
        <v>22.08</v>
      </c>
      <c r="G31" s="417" t="n">
        <v>33.12</v>
      </c>
      <c r="H31" s="417" t="n">
        <v>44.16</v>
      </c>
    </row>
    <row r="32">
      <c r="A32" s="416" t="inlineStr">
        <is>
          <t>Ajuste</t>
        </is>
      </c>
      <c r="B32" s="416" t="inlineStr">
        <is>
          <t>Integração</t>
        </is>
      </c>
      <c r="C32" s="416" t="inlineStr">
        <is>
          <t>Serviço de Recepção (Inbound)</t>
        </is>
      </c>
      <c r="D32" s="417" t="n">
        <v>11.04</v>
      </c>
      <c r="E32" s="417" t="n">
        <v>16.56</v>
      </c>
      <c r="F32" s="417" t="n">
        <v>22.08</v>
      </c>
      <c r="G32" s="417" t="n">
        <v>33.12</v>
      </c>
      <c r="H32" s="417" t="n">
        <v>44.16</v>
      </c>
    </row>
    <row r="33">
      <c r="A33" s="416" t="inlineStr">
        <is>
          <t>Ajuste</t>
        </is>
      </c>
      <c r="B33" s="416" t="inlineStr">
        <is>
          <t>Integração</t>
        </is>
      </c>
      <c r="C33" s="416" t="inlineStr">
        <is>
          <t>Job / Rotina Assíncrona</t>
        </is>
      </c>
      <c r="D33" s="417" t="n">
        <v>8.279999999999999</v>
      </c>
      <c r="E33" s="417" t="n">
        <v>12.42</v>
      </c>
      <c r="F33" s="417" t="n">
        <v>16.56</v>
      </c>
      <c r="G33" s="417" t="n">
        <v>24.84</v>
      </c>
      <c r="H33" s="417" t="n">
        <v>33.12</v>
      </c>
    </row>
    <row r="34">
      <c r="A34" s="416" t="inlineStr">
        <is>
          <t>Ajuste</t>
        </is>
      </c>
      <c r="B34" s="416" t="inlineStr">
        <is>
          <t>Banco de Dados</t>
        </is>
      </c>
      <c r="C34" s="416" t="inlineStr">
        <is>
          <t>Modelagem / Entidade Básica</t>
        </is>
      </c>
      <c r="D34" s="417" t="n">
        <v>2.76</v>
      </c>
      <c r="E34" s="417" t="n">
        <v>4.14</v>
      </c>
      <c r="F34" s="417" t="n">
        <v>5.52</v>
      </c>
      <c r="G34" s="417" t="n">
        <v>8.279999999999999</v>
      </c>
      <c r="H34" s="417" t="n">
        <v>11.04</v>
      </c>
    </row>
    <row r="35">
      <c r="A35" s="416" t="inlineStr">
        <is>
          <t>Ajuste</t>
        </is>
      </c>
      <c r="B35" s="416" t="inlineStr">
        <is>
          <t>Banco de Dados</t>
        </is>
      </c>
      <c r="C35" s="416" t="inlineStr">
        <is>
          <t>View ou Query Complexa</t>
        </is>
      </c>
      <c r="D35" s="417" t="n">
        <v>5.52</v>
      </c>
      <c r="E35" s="417" t="n">
        <v>8.279999999999999</v>
      </c>
      <c r="F35" s="417" t="n">
        <v>11.04</v>
      </c>
      <c r="G35" s="417" t="n">
        <v>16.56</v>
      </c>
      <c r="H35" s="417" t="n">
        <v>22.08</v>
      </c>
    </row>
    <row r="36">
      <c r="A36" s="416" t="inlineStr">
        <is>
          <t>Ajuste</t>
        </is>
      </c>
      <c r="B36" s="416" t="inlineStr">
        <is>
          <t>Banco de Dados</t>
        </is>
      </c>
      <c r="C36" s="416" t="inlineStr">
        <is>
          <t>Script de Carga de Dados (ETL)</t>
        </is>
      </c>
      <c r="D36" s="417" t="n">
        <v>8.279999999999999</v>
      </c>
      <c r="E36" s="417" t="n">
        <v>12.42</v>
      </c>
      <c r="F36" s="417" t="n">
        <v>16.56</v>
      </c>
      <c r="G36" s="417" t="n">
        <v>24.84</v>
      </c>
      <c r="H36" s="417" t="n">
        <v>33.12</v>
      </c>
    </row>
    <row r="37">
      <c r="A37" s="416" t="inlineStr">
        <is>
          <t>Ajuste</t>
        </is>
      </c>
      <c r="B37" s="416" t="inlineStr">
        <is>
          <t>Outros</t>
        </is>
      </c>
      <c r="C37" s="416" t="inlineStr">
        <is>
          <t>Setup de Projeto Base</t>
        </is>
      </c>
      <c r="D37" s="417" t="n">
        <v>11.04</v>
      </c>
      <c r="E37" s="417" t="n">
        <v>16.56</v>
      </c>
      <c r="F37" s="417" t="n">
        <v>22.08</v>
      </c>
      <c r="G37" s="417" t="n">
        <v>33.12</v>
      </c>
      <c r="H37" s="417" t="n">
        <v>44.16</v>
      </c>
    </row>
    <row r="38">
      <c r="A38" s="416" t="inlineStr">
        <is>
          <t>Ajuste</t>
        </is>
      </c>
      <c r="B38" s="416" t="inlineStr">
        <is>
          <t>Outros</t>
        </is>
      </c>
      <c r="C38" s="416" t="inlineStr">
        <is>
          <t>Testes Unitários</t>
        </is>
      </c>
      <c r="D38" s="417" t="n">
        <v>5.52</v>
      </c>
      <c r="E38" s="417" t="n">
        <v>8.279999999999999</v>
      </c>
      <c r="F38" s="417" t="n">
        <v>11.04</v>
      </c>
      <c r="G38" s="417" t="n">
        <v>16.56</v>
      </c>
      <c r="H38" s="417" t="n">
        <v>22.08</v>
      </c>
    </row>
    <row r="39">
      <c r="A39" s="416" t="inlineStr">
        <is>
          <t>Ajuste</t>
        </is>
      </c>
      <c r="B39" s="416" t="inlineStr">
        <is>
          <t>Outros</t>
        </is>
      </c>
      <c r="C39" s="416" t="inlineStr">
        <is>
          <t>Documentação Técnica</t>
        </is>
      </c>
      <c r="D39" s="417" t="n">
        <v>5.52</v>
      </c>
      <c r="E39" s="417" t="n">
        <v>8.279999999999999</v>
      </c>
      <c r="F39" s="417" t="n">
        <v>11.04</v>
      </c>
      <c r="G39" s="417" t="n">
        <v>16.56</v>
      </c>
      <c r="H39" s="417" t="n">
        <v>22.08</v>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cols>
    <col width="40" customWidth="1" min="1" max="1"/>
    <col width="100" customWidth="1" min="2" max="2"/>
  </cols>
  <sheetData>
    <row r="1">
      <c r="A1" s="415" t="inlineStr">
        <is>
          <t>Componente</t>
        </is>
      </c>
      <c r="B1" s="415" t="inlineStr">
        <is>
          <t>Descrição da Premissa e Escopo</t>
        </is>
      </c>
    </row>
    <row r="2">
      <c r="A2" s="416" t="inlineStr">
        <is>
          <t>Tela de Autenticação / Login</t>
        </is>
      </c>
      <c r="B2" s="418" t="inlineStr">
        <is>
          <t>Desenvolvimento de tela de login com integração a backend de autenticação (ex: JWT/OAuth).</t>
        </is>
      </c>
    </row>
    <row r="3">
      <c r="A3" s="416" t="inlineStr">
        <is>
          <t>Formulário de Cadastro Simples</t>
        </is>
      </c>
      <c r="B3" s="418" t="inlineStr">
        <is>
          <t>CRUD simples com até 5 campos padrão, persistência em BD, validações simples de front-end.</t>
        </is>
      </c>
    </row>
    <row r="4">
      <c r="A4" s="416" t="inlineStr">
        <is>
          <t>Formulário Mestre-Detalhe</t>
        </is>
      </c>
      <c r="B4" s="418" t="inlineStr">
        <is>
          <t>Tela complexa com abas ou listas associadas (ex: Pedido e Itens), com regras de interface dinâmicas.</t>
        </is>
      </c>
    </row>
    <row r="5">
      <c r="A5" s="416" t="inlineStr">
        <is>
          <t>Listagem / Grid</t>
        </is>
      </c>
      <c r="B5" s="418" t="inlineStr">
        <is>
          <t>Grid de dados com suporte a paginação, filtros por pelo menos 3 campos e ordenação de colunas.</t>
        </is>
      </c>
    </row>
    <row r="6">
      <c r="A6" s="416" t="inlineStr">
        <is>
          <t>Dashboard / Relatório Gráfico</t>
        </is>
      </c>
      <c r="B6" s="418" t="inlineStr">
        <is>
          <t>Tela que agrega múltiplos componentes visuais (gráficos de barra, pizza, linhas) baseados em diferentes origens de dados.</t>
        </is>
      </c>
    </row>
    <row r="7">
      <c r="A7" s="416" t="inlineStr">
        <is>
          <t>Componente Visual Customizado</t>
        </is>
      </c>
      <c r="B7" s="418" t="inlineStr">
        <is>
          <t>Criação de widget UI reutilizável que não é nativo da plataforma padrão.</t>
        </is>
      </c>
    </row>
    <row r="8">
      <c r="A8" s="416" t="inlineStr">
        <is>
          <t>Regra de Negócio Simples</t>
        </is>
      </c>
      <c r="B8" s="418" t="inlineStr">
        <is>
          <t>Validação de dados ou cálculo aritmético direto no fluxo da aplicação.</t>
        </is>
      </c>
    </row>
    <row r="9">
      <c r="A9" s="416" t="inlineStr">
        <is>
          <t>Regra de Negócio Complexa</t>
        </is>
      </c>
      <c r="B9" s="418" t="inlineStr">
        <is>
          <t>Processamento estruturado, consolidação de múltiplos modelos de dados ou algoritmo específico.</t>
        </is>
      </c>
    </row>
    <row r="10">
      <c r="A10" s="416" t="inlineStr">
        <is>
          <t>Endpoint de API (CRUD Padrão)</t>
        </is>
      </c>
      <c r="B10" s="418" t="inlineStr">
        <is>
          <t>Criação de rota RESTful para inserção, edição, leitura e deleção de uma entidade específica.</t>
        </is>
      </c>
    </row>
    <row r="11">
      <c r="A11" s="416" t="inlineStr">
        <is>
          <t>Gestão de Perfis / Permissões</t>
        </is>
      </c>
      <c r="B11" s="418" t="inlineStr">
        <is>
          <t>Verificação e bloqueio de funcionalidades baseado em roles e escopos de usuários.</t>
        </is>
      </c>
    </row>
    <row r="12">
      <c r="A12" s="416" t="inlineStr">
        <is>
          <t>Consumo de API Externa (Outbound)</t>
        </is>
      </c>
      <c r="B12" s="418" t="inlineStr">
        <is>
          <t>Integração cliente para consumir sistema de terceiro. Inclui parsing e tratamento de erro.</t>
        </is>
      </c>
    </row>
    <row r="13">
      <c r="A13" s="416" t="inlineStr">
        <is>
          <t>Serviço de Recepção (Inbound)</t>
        </is>
      </c>
      <c r="B13" s="418" t="inlineStr">
        <is>
          <t>Exposição de payload específico para recebimento de dados via webhook ou integração de parceiros.</t>
        </is>
      </c>
    </row>
    <row r="14">
      <c r="A14" s="416" t="inlineStr">
        <is>
          <t>Job / Rotina Assíncrona</t>
        </is>
      </c>
      <c r="B14" s="418" t="inlineStr">
        <is>
          <t>Processamento em background, scheduled tasks ou fila de execução (workers).</t>
        </is>
      </c>
    </row>
    <row r="15">
      <c r="A15" s="416" t="inlineStr">
        <is>
          <t>Modelagem / Entidade Básica</t>
        </is>
      </c>
      <c r="B15" s="418" t="inlineStr">
        <is>
          <t>Definição de tabelas, constraints e relacionamentos.</t>
        </is>
      </c>
    </row>
    <row r="16">
      <c r="A16" s="416" t="inlineStr">
        <is>
          <t>View ou Query Complexa</t>
        </is>
      </c>
      <c r="B16" s="418" t="inlineStr">
        <is>
          <t>Extração otimizada envolvendo múltiplos JOINs, subqueries e agregações.</t>
        </is>
      </c>
    </row>
    <row r="17">
      <c r="A17" s="416" t="inlineStr">
        <is>
          <t>Script de Carga de Dados (ETL)</t>
        </is>
      </c>
      <c r="B17" s="418" t="inlineStr">
        <is>
          <t>Script pontual para migração ou injeção de dados de configuração na inicialização.</t>
        </is>
      </c>
    </row>
    <row r="18">
      <c r="A18" s="416" t="inlineStr">
        <is>
          <t>Setup de Projeto Base</t>
        </is>
      </c>
      <c r="B18" s="418" t="inlineStr">
        <is>
          <t>Configuração inicial, arquitetura, dependências, injeção de dependência e scaffold.</t>
        </is>
      </c>
    </row>
    <row r="19">
      <c r="A19" s="416" t="inlineStr">
        <is>
          <t>Testes Unitários</t>
        </is>
      </c>
      <c r="B19" s="418" t="inlineStr">
        <is>
          <t>Criação de testes automatizados para cobertura dos métodos de negócios do componente em questão.</t>
        </is>
      </c>
    </row>
    <row r="20">
      <c r="A20" s="416" t="inlineStr">
        <is>
          <t>Documentação Técnica</t>
        </is>
      </c>
      <c r="B20" s="418" t="inlineStr">
        <is>
          <t>Elaboração de manual e detalhamento da arquitetura técnica / diagramas.</t>
        </is>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H39"/>
  <sheetViews>
    <sheetView workbookViewId="0">
      <selection activeCell="A1" sqref="A1"/>
    </sheetView>
  </sheetViews>
  <sheetFormatPr baseColWidth="8" defaultRowHeight="15"/>
  <cols>
    <col width="15" customWidth="1" min="1" max="1"/>
    <col width="20" customWidth="1" min="2" max="2"/>
    <col width="40" customWidth="1" min="3" max="3"/>
    <col width="15" customWidth="1" min="4" max="4"/>
    <col width="15" customWidth="1" min="5" max="5"/>
    <col width="15" customWidth="1" min="6" max="6"/>
    <col width="15" customWidth="1" min="7" max="7"/>
    <col width="15" customWidth="1" min="8" max="8"/>
  </cols>
  <sheetData>
    <row r="1">
      <c r="A1" s="415" t="inlineStr">
        <is>
          <t>Tipo</t>
        </is>
      </c>
      <c r="B1" s="415" t="inlineStr">
        <is>
          <t>Categoria</t>
        </is>
      </c>
      <c r="C1" s="415" t="inlineStr">
        <is>
          <t>Componente</t>
        </is>
      </c>
      <c r="D1" s="415" t="inlineStr">
        <is>
          <t>Muito Baixa</t>
        </is>
      </c>
      <c r="E1" s="415" t="inlineStr">
        <is>
          <t>Baixa</t>
        </is>
      </c>
      <c r="F1" s="415" t="inlineStr">
        <is>
          <t>Média</t>
        </is>
      </c>
      <c r="G1" s="415" t="inlineStr">
        <is>
          <t>Alta</t>
        </is>
      </c>
      <c r="H1" s="415" t="inlineStr">
        <is>
          <t>Muito Alta</t>
        </is>
      </c>
    </row>
    <row r="2">
      <c r="A2" s="416" t="inlineStr">
        <is>
          <t>Novo</t>
        </is>
      </c>
      <c r="B2" s="416" t="inlineStr">
        <is>
          <t>Front-End</t>
        </is>
      </c>
      <c r="C2" s="416" t="inlineStr">
        <is>
          <t>Tela de Autenticação / Login</t>
        </is>
      </c>
      <c r="D2" s="417" t="n">
        <v>8</v>
      </c>
      <c r="E2" s="417" t="n">
        <v>12</v>
      </c>
      <c r="F2" s="417" t="n">
        <v>16</v>
      </c>
      <c r="G2" s="417" t="n">
        <v>24</v>
      </c>
      <c r="H2" s="417" t="n">
        <v>32</v>
      </c>
    </row>
    <row r="3">
      <c r="A3" s="416" t="inlineStr">
        <is>
          <t>Novo</t>
        </is>
      </c>
      <c r="B3" s="416" t="inlineStr">
        <is>
          <t>Front-End</t>
        </is>
      </c>
      <c r="C3" s="416" t="inlineStr">
        <is>
          <t>Formulário de Cadastro Simples</t>
        </is>
      </c>
      <c r="D3" s="417" t="n">
        <v>12</v>
      </c>
      <c r="E3" s="417" t="n">
        <v>18</v>
      </c>
      <c r="F3" s="417" t="n">
        <v>24</v>
      </c>
      <c r="G3" s="417" t="n">
        <v>36</v>
      </c>
      <c r="H3" s="417" t="n">
        <v>48</v>
      </c>
    </row>
    <row r="4">
      <c r="A4" s="416" t="inlineStr">
        <is>
          <t>Novo</t>
        </is>
      </c>
      <c r="B4" s="416" t="inlineStr">
        <is>
          <t>Front-End</t>
        </is>
      </c>
      <c r="C4" s="416" t="inlineStr">
        <is>
          <t>Formulário Mestre-Detalhe</t>
        </is>
      </c>
      <c r="D4" s="417" t="n">
        <v>24</v>
      </c>
      <c r="E4" s="417" t="n">
        <v>36</v>
      </c>
      <c r="F4" s="417" t="n">
        <v>48</v>
      </c>
      <c r="G4" s="417" t="n">
        <v>72</v>
      </c>
      <c r="H4" s="417" t="n">
        <v>96</v>
      </c>
    </row>
    <row r="5">
      <c r="A5" s="416" t="inlineStr">
        <is>
          <t>Novo</t>
        </is>
      </c>
      <c r="B5" s="416" t="inlineStr">
        <is>
          <t>Front-End</t>
        </is>
      </c>
      <c r="C5" s="416" t="inlineStr">
        <is>
          <t>Listagem / Grid</t>
        </is>
      </c>
      <c r="D5" s="417" t="n">
        <v>8</v>
      </c>
      <c r="E5" s="417" t="n">
        <v>12</v>
      </c>
      <c r="F5" s="417" t="n">
        <v>16</v>
      </c>
      <c r="G5" s="417" t="n">
        <v>24</v>
      </c>
      <c r="H5" s="417" t="n">
        <v>32</v>
      </c>
    </row>
    <row r="6">
      <c r="A6" s="416" t="inlineStr">
        <is>
          <t>Novo</t>
        </is>
      </c>
      <c r="B6" s="416" t="inlineStr">
        <is>
          <t>Front-End</t>
        </is>
      </c>
      <c r="C6" s="416" t="inlineStr">
        <is>
          <t>Dashboard / Relatório Gráfico</t>
        </is>
      </c>
      <c r="D6" s="417" t="n">
        <v>20</v>
      </c>
      <c r="E6" s="417" t="n">
        <v>30</v>
      </c>
      <c r="F6" s="417" t="n">
        <v>40</v>
      </c>
      <c r="G6" s="417" t="n">
        <v>60</v>
      </c>
      <c r="H6" s="417" t="n">
        <v>80</v>
      </c>
    </row>
    <row r="7">
      <c r="A7" s="416" t="inlineStr">
        <is>
          <t>Novo</t>
        </is>
      </c>
      <c r="B7" s="416" t="inlineStr">
        <is>
          <t>Front-End</t>
        </is>
      </c>
      <c r="C7" s="416" t="inlineStr">
        <is>
          <t>Componente Visual Customizado</t>
        </is>
      </c>
      <c r="D7" s="417" t="n">
        <v>12</v>
      </c>
      <c r="E7" s="417" t="n">
        <v>18</v>
      </c>
      <c r="F7" s="417" t="n">
        <v>24</v>
      </c>
      <c r="G7" s="417" t="n">
        <v>36</v>
      </c>
      <c r="H7" s="417" t="n">
        <v>48</v>
      </c>
    </row>
    <row r="8">
      <c r="A8" s="416" t="inlineStr">
        <is>
          <t>Novo</t>
        </is>
      </c>
      <c r="B8" s="416" t="inlineStr">
        <is>
          <t>Back-End</t>
        </is>
      </c>
      <c r="C8" s="416" t="inlineStr">
        <is>
          <t>Regra de Negócio Simples</t>
        </is>
      </c>
      <c r="D8" s="417" t="n">
        <v>6</v>
      </c>
      <c r="E8" s="417" t="n">
        <v>9</v>
      </c>
      <c r="F8" s="417" t="n">
        <v>12</v>
      </c>
      <c r="G8" s="417" t="n">
        <v>18</v>
      </c>
      <c r="H8" s="417" t="n">
        <v>24</v>
      </c>
    </row>
    <row r="9">
      <c r="A9" s="416" t="inlineStr">
        <is>
          <t>Novo</t>
        </is>
      </c>
      <c r="B9" s="416" t="inlineStr">
        <is>
          <t>Back-End</t>
        </is>
      </c>
      <c r="C9" s="416" t="inlineStr">
        <is>
          <t>Regra de Negócio Complexa</t>
        </is>
      </c>
      <c r="D9" s="417" t="n">
        <v>16</v>
      </c>
      <c r="E9" s="417" t="n">
        <v>24</v>
      </c>
      <c r="F9" s="417" t="n">
        <v>32</v>
      </c>
      <c r="G9" s="417" t="n">
        <v>48</v>
      </c>
      <c r="H9" s="417" t="n">
        <v>64</v>
      </c>
    </row>
    <row r="10">
      <c r="A10" s="416" t="inlineStr">
        <is>
          <t>Novo</t>
        </is>
      </c>
      <c r="B10" s="416" t="inlineStr">
        <is>
          <t>Back-End</t>
        </is>
      </c>
      <c r="C10" s="416" t="inlineStr">
        <is>
          <t>Endpoint de API (CRUD Padrão)</t>
        </is>
      </c>
      <c r="D10" s="417" t="n">
        <v>12</v>
      </c>
      <c r="E10" s="417" t="n">
        <v>18</v>
      </c>
      <c r="F10" s="417" t="n">
        <v>24</v>
      </c>
      <c r="G10" s="417" t="n">
        <v>36</v>
      </c>
      <c r="H10" s="417" t="n">
        <v>48</v>
      </c>
    </row>
    <row r="11">
      <c r="A11" s="416" t="inlineStr">
        <is>
          <t>Novo</t>
        </is>
      </c>
      <c r="B11" s="416" t="inlineStr">
        <is>
          <t>Back-End</t>
        </is>
      </c>
      <c r="C11" s="416" t="inlineStr">
        <is>
          <t>Gestão de Perfis / Permissões</t>
        </is>
      </c>
      <c r="D11" s="417" t="n">
        <v>8</v>
      </c>
      <c r="E11" s="417" t="n">
        <v>12</v>
      </c>
      <c r="F11" s="417" t="n">
        <v>16</v>
      </c>
      <c r="G11" s="417" t="n">
        <v>24</v>
      </c>
      <c r="H11" s="417" t="n">
        <v>32</v>
      </c>
    </row>
    <row r="12">
      <c r="A12" s="416" t="inlineStr">
        <is>
          <t>Novo</t>
        </is>
      </c>
      <c r="B12" s="416" t="inlineStr">
        <is>
          <t>Integração</t>
        </is>
      </c>
      <c r="C12" s="416" t="inlineStr">
        <is>
          <t>Consumo de API Externa (Outbound)</t>
        </is>
      </c>
      <c r="D12" s="417" t="n">
        <v>16</v>
      </c>
      <c r="E12" s="417" t="n">
        <v>24</v>
      </c>
      <c r="F12" s="417" t="n">
        <v>32</v>
      </c>
      <c r="G12" s="417" t="n">
        <v>48</v>
      </c>
      <c r="H12" s="417" t="n">
        <v>64</v>
      </c>
    </row>
    <row r="13">
      <c r="A13" s="416" t="inlineStr">
        <is>
          <t>Novo</t>
        </is>
      </c>
      <c r="B13" s="416" t="inlineStr">
        <is>
          <t>Integração</t>
        </is>
      </c>
      <c r="C13" s="416" t="inlineStr">
        <is>
          <t>Serviço de Recepção (Inbound)</t>
        </is>
      </c>
      <c r="D13" s="417" t="n">
        <v>16</v>
      </c>
      <c r="E13" s="417" t="n">
        <v>24</v>
      </c>
      <c r="F13" s="417" t="n">
        <v>32</v>
      </c>
      <c r="G13" s="417" t="n">
        <v>48</v>
      </c>
      <c r="H13" s="417" t="n">
        <v>64</v>
      </c>
    </row>
    <row r="14">
      <c r="A14" s="416" t="inlineStr">
        <is>
          <t>Novo</t>
        </is>
      </c>
      <c r="B14" s="416" t="inlineStr">
        <is>
          <t>Integração</t>
        </is>
      </c>
      <c r="C14" s="416" t="inlineStr">
        <is>
          <t>Job / Rotina Assíncrona</t>
        </is>
      </c>
      <c r="D14" s="417" t="n">
        <v>12</v>
      </c>
      <c r="E14" s="417" t="n">
        <v>18</v>
      </c>
      <c r="F14" s="417" t="n">
        <v>24</v>
      </c>
      <c r="G14" s="417" t="n">
        <v>36</v>
      </c>
      <c r="H14" s="417" t="n">
        <v>48</v>
      </c>
    </row>
    <row r="15">
      <c r="A15" s="416" t="inlineStr">
        <is>
          <t>Novo</t>
        </is>
      </c>
      <c r="B15" s="416" t="inlineStr">
        <is>
          <t>Banco de Dados</t>
        </is>
      </c>
      <c r="C15" s="416" t="inlineStr">
        <is>
          <t>Modelagem / Entidade Básica</t>
        </is>
      </c>
      <c r="D15" s="417" t="n">
        <v>4</v>
      </c>
      <c r="E15" s="417" t="n">
        <v>6</v>
      </c>
      <c r="F15" s="417" t="n">
        <v>8</v>
      </c>
      <c r="G15" s="417" t="n">
        <v>12</v>
      </c>
      <c r="H15" s="417" t="n">
        <v>16</v>
      </c>
    </row>
    <row r="16">
      <c r="A16" s="416" t="inlineStr">
        <is>
          <t>Novo</t>
        </is>
      </c>
      <c r="B16" s="416" t="inlineStr">
        <is>
          <t>Banco de Dados</t>
        </is>
      </c>
      <c r="C16" s="416" t="inlineStr">
        <is>
          <t>View ou Query Complexa</t>
        </is>
      </c>
      <c r="D16" s="417" t="n">
        <v>8</v>
      </c>
      <c r="E16" s="417" t="n">
        <v>12</v>
      </c>
      <c r="F16" s="417" t="n">
        <v>16</v>
      </c>
      <c r="G16" s="417" t="n">
        <v>24</v>
      </c>
      <c r="H16" s="417" t="n">
        <v>32</v>
      </c>
    </row>
    <row r="17">
      <c r="A17" s="416" t="inlineStr">
        <is>
          <t>Novo</t>
        </is>
      </c>
      <c r="B17" s="416" t="inlineStr">
        <is>
          <t>Banco de Dados</t>
        </is>
      </c>
      <c r="C17" s="416" t="inlineStr">
        <is>
          <t>Script de Carga de Dados (ETL)</t>
        </is>
      </c>
      <c r="D17" s="417" t="n">
        <v>12</v>
      </c>
      <c r="E17" s="417" t="n">
        <v>18</v>
      </c>
      <c r="F17" s="417" t="n">
        <v>24</v>
      </c>
      <c r="G17" s="417" t="n">
        <v>36</v>
      </c>
      <c r="H17" s="417" t="n">
        <v>48</v>
      </c>
    </row>
    <row r="18">
      <c r="A18" s="416" t="inlineStr">
        <is>
          <t>Novo</t>
        </is>
      </c>
      <c r="B18" s="416" t="inlineStr">
        <is>
          <t>Outros</t>
        </is>
      </c>
      <c r="C18" s="416" t="inlineStr">
        <is>
          <t>Setup de Projeto Base</t>
        </is>
      </c>
      <c r="D18" s="417" t="n">
        <v>16</v>
      </c>
      <c r="E18" s="417" t="n">
        <v>24</v>
      </c>
      <c r="F18" s="417" t="n">
        <v>32</v>
      </c>
      <c r="G18" s="417" t="n">
        <v>48</v>
      </c>
      <c r="H18" s="417" t="n">
        <v>64</v>
      </c>
    </row>
    <row r="19">
      <c r="A19" s="416" t="inlineStr">
        <is>
          <t>Novo</t>
        </is>
      </c>
      <c r="B19" s="416" t="inlineStr">
        <is>
          <t>Outros</t>
        </is>
      </c>
      <c r="C19" s="416" t="inlineStr">
        <is>
          <t>Testes Unitários</t>
        </is>
      </c>
      <c r="D19" s="417" t="n">
        <v>8</v>
      </c>
      <c r="E19" s="417" t="n">
        <v>12</v>
      </c>
      <c r="F19" s="417" t="n">
        <v>16</v>
      </c>
      <c r="G19" s="417" t="n">
        <v>24</v>
      </c>
      <c r="H19" s="417" t="n">
        <v>32</v>
      </c>
    </row>
    <row r="20">
      <c r="A20" s="416" t="inlineStr">
        <is>
          <t>Novo</t>
        </is>
      </c>
      <c r="B20" s="416" t="inlineStr">
        <is>
          <t>Outros</t>
        </is>
      </c>
      <c r="C20" s="416" t="inlineStr">
        <is>
          <t>Documentação Técnica</t>
        </is>
      </c>
      <c r="D20" s="417" t="n">
        <v>8</v>
      </c>
      <c r="E20" s="417" t="n">
        <v>12</v>
      </c>
      <c r="F20" s="417" t="n">
        <v>16</v>
      </c>
      <c r="G20" s="417" t="n">
        <v>24</v>
      </c>
      <c r="H20" s="417" t="n">
        <v>32</v>
      </c>
    </row>
    <row r="21">
      <c r="A21" s="416" t="inlineStr">
        <is>
          <t>Ajuste</t>
        </is>
      </c>
      <c r="B21" s="416" t="inlineStr">
        <is>
          <t>Front-End</t>
        </is>
      </c>
      <c r="C21" s="416" t="inlineStr">
        <is>
          <t>Tela de Autenticação / Login</t>
        </is>
      </c>
      <c r="D21" s="417" t="n">
        <v>4.8</v>
      </c>
      <c r="E21" s="417" t="n">
        <v>7.2</v>
      </c>
      <c r="F21" s="417" t="n">
        <v>9.6</v>
      </c>
      <c r="G21" s="417" t="n">
        <v>14.4</v>
      </c>
      <c r="H21" s="417" t="n">
        <v>19.2</v>
      </c>
    </row>
    <row r="22">
      <c r="A22" s="416" t="inlineStr">
        <is>
          <t>Ajuste</t>
        </is>
      </c>
      <c r="B22" s="416" t="inlineStr">
        <is>
          <t>Front-End</t>
        </is>
      </c>
      <c r="C22" s="416" t="inlineStr">
        <is>
          <t>Formulário de Cadastro Simples</t>
        </is>
      </c>
      <c r="D22" s="417" t="n">
        <v>7.2</v>
      </c>
      <c r="E22" s="417" t="n">
        <v>10.8</v>
      </c>
      <c r="F22" s="417" t="n">
        <v>14.4</v>
      </c>
      <c r="G22" s="417" t="n">
        <v>21.6</v>
      </c>
      <c r="H22" s="417" t="n">
        <v>28.8</v>
      </c>
    </row>
    <row r="23">
      <c r="A23" s="416" t="inlineStr">
        <is>
          <t>Ajuste</t>
        </is>
      </c>
      <c r="B23" s="416" t="inlineStr">
        <is>
          <t>Front-End</t>
        </is>
      </c>
      <c r="C23" s="416" t="inlineStr">
        <is>
          <t>Formulário Mestre-Detalhe</t>
        </is>
      </c>
      <c r="D23" s="417" t="n">
        <v>14.4</v>
      </c>
      <c r="E23" s="417" t="n">
        <v>21.6</v>
      </c>
      <c r="F23" s="417" t="n">
        <v>28.8</v>
      </c>
      <c r="G23" s="417" t="n">
        <v>43.2</v>
      </c>
      <c r="H23" s="417" t="n">
        <v>57.6</v>
      </c>
    </row>
    <row r="24">
      <c r="A24" s="416" t="inlineStr">
        <is>
          <t>Ajuste</t>
        </is>
      </c>
      <c r="B24" s="416" t="inlineStr">
        <is>
          <t>Front-End</t>
        </is>
      </c>
      <c r="C24" s="416" t="inlineStr">
        <is>
          <t>Listagem / Grid</t>
        </is>
      </c>
      <c r="D24" s="417" t="n">
        <v>4.8</v>
      </c>
      <c r="E24" s="417" t="n">
        <v>7.2</v>
      </c>
      <c r="F24" s="417" t="n">
        <v>9.6</v>
      </c>
      <c r="G24" s="417" t="n">
        <v>14.4</v>
      </c>
      <c r="H24" s="417" t="n">
        <v>19.2</v>
      </c>
    </row>
    <row r="25">
      <c r="A25" s="416" t="inlineStr">
        <is>
          <t>Ajuste</t>
        </is>
      </c>
      <c r="B25" s="416" t="inlineStr">
        <is>
          <t>Front-End</t>
        </is>
      </c>
      <c r="C25" s="416" t="inlineStr">
        <is>
          <t>Dashboard / Relatório Gráfico</t>
        </is>
      </c>
      <c r="D25" s="417" t="n">
        <v>12</v>
      </c>
      <c r="E25" s="417" t="n">
        <v>18</v>
      </c>
      <c r="F25" s="417" t="n">
        <v>24</v>
      </c>
      <c r="G25" s="417" t="n">
        <v>36</v>
      </c>
      <c r="H25" s="417" t="n">
        <v>48</v>
      </c>
    </row>
    <row r="26">
      <c r="A26" s="416" t="inlineStr">
        <is>
          <t>Ajuste</t>
        </is>
      </c>
      <c r="B26" s="416" t="inlineStr">
        <is>
          <t>Front-End</t>
        </is>
      </c>
      <c r="C26" s="416" t="inlineStr">
        <is>
          <t>Componente Visual Customizado</t>
        </is>
      </c>
      <c r="D26" s="417" t="n">
        <v>7.2</v>
      </c>
      <c r="E26" s="417" t="n">
        <v>10.8</v>
      </c>
      <c r="F26" s="417" t="n">
        <v>14.4</v>
      </c>
      <c r="G26" s="417" t="n">
        <v>21.6</v>
      </c>
      <c r="H26" s="417" t="n">
        <v>28.8</v>
      </c>
    </row>
    <row r="27">
      <c r="A27" s="416" t="inlineStr">
        <is>
          <t>Ajuste</t>
        </is>
      </c>
      <c r="B27" s="416" t="inlineStr">
        <is>
          <t>Back-End</t>
        </is>
      </c>
      <c r="C27" s="416" t="inlineStr">
        <is>
          <t>Regra de Negócio Simples</t>
        </is>
      </c>
      <c r="D27" s="417" t="n">
        <v>3.6</v>
      </c>
      <c r="E27" s="417" t="n">
        <v>5.4</v>
      </c>
      <c r="F27" s="417" t="n">
        <v>7.2</v>
      </c>
      <c r="G27" s="417" t="n">
        <v>10.8</v>
      </c>
      <c r="H27" s="417" t="n">
        <v>14.4</v>
      </c>
    </row>
    <row r="28">
      <c r="A28" s="416" t="inlineStr">
        <is>
          <t>Ajuste</t>
        </is>
      </c>
      <c r="B28" s="416" t="inlineStr">
        <is>
          <t>Back-End</t>
        </is>
      </c>
      <c r="C28" s="416" t="inlineStr">
        <is>
          <t>Regra de Negócio Complexa</t>
        </is>
      </c>
      <c r="D28" s="417" t="n">
        <v>9.6</v>
      </c>
      <c r="E28" s="417" t="n">
        <v>14.4</v>
      </c>
      <c r="F28" s="417" t="n">
        <v>19.2</v>
      </c>
      <c r="G28" s="417" t="n">
        <v>28.8</v>
      </c>
      <c r="H28" s="417" t="n">
        <v>38.4</v>
      </c>
    </row>
    <row r="29">
      <c r="A29" s="416" t="inlineStr">
        <is>
          <t>Ajuste</t>
        </is>
      </c>
      <c r="B29" s="416" t="inlineStr">
        <is>
          <t>Back-End</t>
        </is>
      </c>
      <c r="C29" s="416" t="inlineStr">
        <is>
          <t>Endpoint de API (CRUD Padrão)</t>
        </is>
      </c>
      <c r="D29" s="417" t="n">
        <v>7.2</v>
      </c>
      <c r="E29" s="417" t="n">
        <v>10.8</v>
      </c>
      <c r="F29" s="417" t="n">
        <v>14.4</v>
      </c>
      <c r="G29" s="417" t="n">
        <v>21.6</v>
      </c>
      <c r="H29" s="417" t="n">
        <v>28.8</v>
      </c>
    </row>
    <row r="30">
      <c r="A30" s="416" t="inlineStr">
        <is>
          <t>Ajuste</t>
        </is>
      </c>
      <c r="B30" s="416" t="inlineStr">
        <is>
          <t>Back-End</t>
        </is>
      </c>
      <c r="C30" s="416" t="inlineStr">
        <is>
          <t>Gestão de Perfis / Permissões</t>
        </is>
      </c>
      <c r="D30" s="417" t="n">
        <v>4.8</v>
      </c>
      <c r="E30" s="417" t="n">
        <v>7.2</v>
      </c>
      <c r="F30" s="417" t="n">
        <v>9.6</v>
      </c>
      <c r="G30" s="417" t="n">
        <v>14.4</v>
      </c>
      <c r="H30" s="417" t="n">
        <v>19.2</v>
      </c>
    </row>
    <row r="31">
      <c r="A31" s="416" t="inlineStr">
        <is>
          <t>Ajuste</t>
        </is>
      </c>
      <c r="B31" s="416" t="inlineStr">
        <is>
          <t>Integração</t>
        </is>
      </c>
      <c r="C31" s="416" t="inlineStr">
        <is>
          <t>Consumo de API Externa (Outbound)</t>
        </is>
      </c>
      <c r="D31" s="417" t="n">
        <v>9.6</v>
      </c>
      <c r="E31" s="417" t="n">
        <v>14.4</v>
      </c>
      <c r="F31" s="417" t="n">
        <v>19.2</v>
      </c>
      <c r="G31" s="417" t="n">
        <v>28.8</v>
      </c>
      <c r="H31" s="417" t="n">
        <v>38.4</v>
      </c>
    </row>
    <row r="32">
      <c r="A32" s="416" t="inlineStr">
        <is>
          <t>Ajuste</t>
        </is>
      </c>
      <c r="B32" s="416" t="inlineStr">
        <is>
          <t>Integração</t>
        </is>
      </c>
      <c r="C32" s="416" t="inlineStr">
        <is>
          <t>Serviço de Recepção (Inbound)</t>
        </is>
      </c>
      <c r="D32" s="417" t="n">
        <v>9.6</v>
      </c>
      <c r="E32" s="417" t="n">
        <v>14.4</v>
      </c>
      <c r="F32" s="417" t="n">
        <v>19.2</v>
      </c>
      <c r="G32" s="417" t="n">
        <v>28.8</v>
      </c>
      <c r="H32" s="417" t="n">
        <v>38.4</v>
      </c>
    </row>
    <row r="33">
      <c r="A33" s="416" t="inlineStr">
        <is>
          <t>Ajuste</t>
        </is>
      </c>
      <c r="B33" s="416" t="inlineStr">
        <is>
          <t>Integração</t>
        </is>
      </c>
      <c r="C33" s="416" t="inlineStr">
        <is>
          <t>Job / Rotina Assíncrona</t>
        </is>
      </c>
      <c r="D33" s="417" t="n">
        <v>7.2</v>
      </c>
      <c r="E33" s="417" t="n">
        <v>10.8</v>
      </c>
      <c r="F33" s="417" t="n">
        <v>14.4</v>
      </c>
      <c r="G33" s="417" t="n">
        <v>21.6</v>
      </c>
      <c r="H33" s="417" t="n">
        <v>28.8</v>
      </c>
    </row>
    <row r="34">
      <c r="A34" s="416" t="inlineStr">
        <is>
          <t>Ajuste</t>
        </is>
      </c>
      <c r="B34" s="416" t="inlineStr">
        <is>
          <t>Banco de Dados</t>
        </is>
      </c>
      <c r="C34" s="416" t="inlineStr">
        <is>
          <t>Modelagem / Entidade Básica</t>
        </is>
      </c>
      <c r="D34" s="417" t="n">
        <v>2.4</v>
      </c>
      <c r="E34" s="417" t="n">
        <v>3.6</v>
      </c>
      <c r="F34" s="417" t="n">
        <v>4.8</v>
      </c>
      <c r="G34" s="417" t="n">
        <v>7.2</v>
      </c>
      <c r="H34" s="417" t="n">
        <v>9.6</v>
      </c>
    </row>
    <row r="35">
      <c r="A35" s="416" t="inlineStr">
        <is>
          <t>Ajuste</t>
        </is>
      </c>
      <c r="B35" s="416" t="inlineStr">
        <is>
          <t>Banco de Dados</t>
        </is>
      </c>
      <c r="C35" s="416" t="inlineStr">
        <is>
          <t>View ou Query Complexa</t>
        </is>
      </c>
      <c r="D35" s="417" t="n">
        <v>4.8</v>
      </c>
      <c r="E35" s="417" t="n">
        <v>7.2</v>
      </c>
      <c r="F35" s="417" t="n">
        <v>9.6</v>
      </c>
      <c r="G35" s="417" t="n">
        <v>14.4</v>
      </c>
      <c r="H35" s="417" t="n">
        <v>19.2</v>
      </c>
    </row>
    <row r="36">
      <c r="A36" s="416" t="inlineStr">
        <is>
          <t>Ajuste</t>
        </is>
      </c>
      <c r="B36" s="416" t="inlineStr">
        <is>
          <t>Banco de Dados</t>
        </is>
      </c>
      <c r="C36" s="416" t="inlineStr">
        <is>
          <t>Script de Carga de Dados (ETL)</t>
        </is>
      </c>
      <c r="D36" s="417" t="n">
        <v>7.2</v>
      </c>
      <c r="E36" s="417" t="n">
        <v>10.8</v>
      </c>
      <c r="F36" s="417" t="n">
        <v>14.4</v>
      </c>
      <c r="G36" s="417" t="n">
        <v>21.6</v>
      </c>
      <c r="H36" s="417" t="n">
        <v>28.8</v>
      </c>
    </row>
    <row r="37">
      <c r="A37" s="416" t="inlineStr">
        <is>
          <t>Ajuste</t>
        </is>
      </c>
      <c r="B37" s="416" t="inlineStr">
        <is>
          <t>Outros</t>
        </is>
      </c>
      <c r="C37" s="416" t="inlineStr">
        <is>
          <t>Setup de Projeto Base</t>
        </is>
      </c>
      <c r="D37" s="417" t="n">
        <v>9.6</v>
      </c>
      <c r="E37" s="417" t="n">
        <v>14.4</v>
      </c>
      <c r="F37" s="417" t="n">
        <v>19.2</v>
      </c>
      <c r="G37" s="417" t="n">
        <v>28.8</v>
      </c>
      <c r="H37" s="417" t="n">
        <v>38.4</v>
      </c>
    </row>
    <row r="38">
      <c r="A38" s="416" t="inlineStr">
        <is>
          <t>Ajuste</t>
        </is>
      </c>
      <c r="B38" s="416" t="inlineStr">
        <is>
          <t>Outros</t>
        </is>
      </c>
      <c r="C38" s="416" t="inlineStr">
        <is>
          <t>Testes Unitários</t>
        </is>
      </c>
      <c r="D38" s="417" t="n">
        <v>4.8</v>
      </c>
      <c r="E38" s="417" t="n">
        <v>7.2</v>
      </c>
      <c r="F38" s="417" t="n">
        <v>9.6</v>
      </c>
      <c r="G38" s="417" t="n">
        <v>14.4</v>
      </c>
      <c r="H38" s="417" t="n">
        <v>19.2</v>
      </c>
    </row>
    <row r="39">
      <c r="A39" s="416" t="inlineStr">
        <is>
          <t>Ajuste</t>
        </is>
      </c>
      <c r="B39" s="416" t="inlineStr">
        <is>
          <t>Outros</t>
        </is>
      </c>
      <c r="C39" s="416" t="inlineStr">
        <is>
          <t>Documentação Técnica</t>
        </is>
      </c>
      <c r="D39" s="417" t="n">
        <v>4.8</v>
      </c>
      <c r="E39" s="417" t="n">
        <v>7.2</v>
      </c>
      <c r="F39" s="417" t="n">
        <v>9.6</v>
      </c>
      <c r="G39" s="417" t="n">
        <v>14.4</v>
      </c>
      <c r="H39" s="417" t="n">
        <v>19.2</v>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cols>
    <col width="40" customWidth="1" min="1" max="1"/>
    <col width="100" customWidth="1" min="2" max="2"/>
  </cols>
  <sheetData>
    <row r="1">
      <c r="A1" s="415" t="inlineStr">
        <is>
          <t>Componente</t>
        </is>
      </c>
      <c r="B1" s="415" t="inlineStr">
        <is>
          <t>Descrição da Premissa e Escopo</t>
        </is>
      </c>
    </row>
    <row r="2">
      <c r="A2" s="416" t="inlineStr">
        <is>
          <t>Tela de Autenticação / Login</t>
        </is>
      </c>
      <c r="B2" s="418" t="inlineStr">
        <is>
          <t>Desenvolvimento de tela de login com integração a backend de autenticação (ex: JWT/OAuth).</t>
        </is>
      </c>
    </row>
    <row r="3">
      <c r="A3" s="416" t="inlineStr">
        <is>
          <t>Formulário de Cadastro Simples</t>
        </is>
      </c>
      <c r="B3" s="418" t="inlineStr">
        <is>
          <t>CRUD simples com até 5 campos padrão, persistência em BD, validações simples de front-end.</t>
        </is>
      </c>
    </row>
    <row r="4">
      <c r="A4" s="416" t="inlineStr">
        <is>
          <t>Formulário Mestre-Detalhe</t>
        </is>
      </c>
      <c r="B4" s="418" t="inlineStr">
        <is>
          <t>Tela complexa com abas ou listas associadas (ex: Pedido e Itens), com regras de interface dinâmicas.</t>
        </is>
      </c>
    </row>
    <row r="5">
      <c r="A5" s="416" t="inlineStr">
        <is>
          <t>Listagem / Grid</t>
        </is>
      </c>
      <c r="B5" s="418" t="inlineStr">
        <is>
          <t>Grid de dados com suporte a paginação, filtros por pelo menos 3 campos e ordenação de colunas.</t>
        </is>
      </c>
    </row>
    <row r="6">
      <c r="A6" s="416" t="inlineStr">
        <is>
          <t>Dashboard / Relatório Gráfico</t>
        </is>
      </c>
      <c r="B6" s="418" t="inlineStr">
        <is>
          <t>Tela que agrega múltiplos componentes visuais (gráficos de barra, pizza, linhas) baseados em diferentes origens de dados.</t>
        </is>
      </c>
    </row>
    <row r="7">
      <c r="A7" s="416" t="inlineStr">
        <is>
          <t>Componente Visual Customizado</t>
        </is>
      </c>
      <c r="B7" s="418" t="inlineStr">
        <is>
          <t>Criação de widget UI reutilizável que não é nativo da plataforma padrão.</t>
        </is>
      </c>
    </row>
    <row r="8">
      <c r="A8" s="416" t="inlineStr">
        <is>
          <t>Regra de Negócio Simples</t>
        </is>
      </c>
      <c r="B8" s="418" t="inlineStr">
        <is>
          <t>Validação de dados ou cálculo aritmético direto no fluxo da aplicação.</t>
        </is>
      </c>
    </row>
    <row r="9">
      <c r="A9" s="416" t="inlineStr">
        <is>
          <t>Regra de Negócio Complexa</t>
        </is>
      </c>
      <c r="B9" s="418" t="inlineStr">
        <is>
          <t>Processamento estruturado, consolidação de múltiplos modelos de dados ou algoritmo específico.</t>
        </is>
      </c>
    </row>
    <row r="10">
      <c r="A10" s="416" t="inlineStr">
        <is>
          <t>Endpoint de API (CRUD Padrão)</t>
        </is>
      </c>
      <c r="B10" s="418" t="inlineStr">
        <is>
          <t>Criação de rota RESTful para inserção, edição, leitura e deleção de uma entidade específica.</t>
        </is>
      </c>
    </row>
    <row r="11">
      <c r="A11" s="416" t="inlineStr">
        <is>
          <t>Gestão de Perfis / Permissões</t>
        </is>
      </c>
      <c r="B11" s="418" t="inlineStr">
        <is>
          <t>Verificação e bloqueio de funcionalidades baseado em roles e escopos de usuários.</t>
        </is>
      </c>
    </row>
    <row r="12">
      <c r="A12" s="416" t="inlineStr">
        <is>
          <t>Consumo de API Externa (Outbound)</t>
        </is>
      </c>
      <c r="B12" s="418" t="inlineStr">
        <is>
          <t>Integração cliente para consumir sistema de terceiro. Inclui parsing e tratamento de erro.</t>
        </is>
      </c>
    </row>
    <row r="13">
      <c r="A13" s="416" t="inlineStr">
        <is>
          <t>Serviço de Recepção (Inbound)</t>
        </is>
      </c>
      <c r="B13" s="418" t="inlineStr">
        <is>
          <t>Exposição de payload específico para recebimento de dados via webhook ou integração de parceiros.</t>
        </is>
      </c>
    </row>
    <row r="14">
      <c r="A14" s="416" t="inlineStr">
        <is>
          <t>Job / Rotina Assíncrona</t>
        </is>
      </c>
      <c r="B14" s="418" t="inlineStr">
        <is>
          <t>Processamento em background, scheduled tasks ou fila de execução (workers).</t>
        </is>
      </c>
    </row>
    <row r="15">
      <c r="A15" s="416" t="inlineStr">
        <is>
          <t>Modelagem / Entidade Básica</t>
        </is>
      </c>
      <c r="B15" s="418" t="inlineStr">
        <is>
          <t>Definição de tabelas, constraints e relacionamentos.</t>
        </is>
      </c>
    </row>
    <row r="16">
      <c r="A16" s="416" t="inlineStr">
        <is>
          <t>View ou Query Complexa</t>
        </is>
      </c>
      <c r="B16" s="418" t="inlineStr">
        <is>
          <t>Extração otimizada envolvendo múltiplos JOINs, subqueries e agregações.</t>
        </is>
      </c>
    </row>
    <row r="17">
      <c r="A17" s="416" t="inlineStr">
        <is>
          <t>Script de Carga de Dados (ETL)</t>
        </is>
      </c>
      <c r="B17" s="418" t="inlineStr">
        <is>
          <t>Script pontual para migração ou injeção de dados de configuração na inicialização.</t>
        </is>
      </c>
    </row>
    <row r="18">
      <c r="A18" s="416" t="inlineStr">
        <is>
          <t>Setup de Projeto Base</t>
        </is>
      </c>
      <c r="B18" s="418" t="inlineStr">
        <is>
          <t>Configuração inicial, arquitetura, dependências, injeção de dependência e scaffold.</t>
        </is>
      </c>
    </row>
    <row r="19">
      <c r="A19" s="416" t="inlineStr">
        <is>
          <t>Testes Unitários</t>
        </is>
      </c>
      <c r="B19" s="418" t="inlineStr">
        <is>
          <t>Criação de testes automatizados para cobertura dos métodos de negócios do componente em questão.</t>
        </is>
      </c>
    </row>
    <row r="20">
      <c r="A20" s="416" t="inlineStr">
        <is>
          <t>Documentação Técnica</t>
        </is>
      </c>
      <c r="B20" s="418" t="inlineStr">
        <is>
          <t>Elaboração de manual e detalhamento da arquitetura técnica / diagramas.</t>
        </is>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H39"/>
  <sheetViews>
    <sheetView workbookViewId="0">
      <selection activeCell="A1" sqref="A1"/>
    </sheetView>
  </sheetViews>
  <sheetFormatPr baseColWidth="8" defaultRowHeight="15"/>
  <cols>
    <col width="15" customWidth="1" min="1" max="1"/>
    <col width="20" customWidth="1" min="2" max="2"/>
    <col width="40" customWidth="1" min="3" max="3"/>
    <col width="15" customWidth="1" min="4" max="4"/>
    <col width="15" customWidth="1" min="5" max="5"/>
    <col width="15" customWidth="1" min="6" max="6"/>
    <col width="15" customWidth="1" min="7" max="7"/>
    <col width="15" customWidth="1" min="8" max="8"/>
  </cols>
  <sheetData>
    <row r="1">
      <c r="A1" s="415" t="inlineStr">
        <is>
          <t>Tipo</t>
        </is>
      </c>
      <c r="B1" s="415" t="inlineStr">
        <is>
          <t>Categoria</t>
        </is>
      </c>
      <c r="C1" s="415" t="inlineStr">
        <is>
          <t>Componente</t>
        </is>
      </c>
      <c r="D1" s="415" t="inlineStr">
        <is>
          <t>Muito Baixa</t>
        </is>
      </c>
      <c r="E1" s="415" t="inlineStr">
        <is>
          <t>Baixa</t>
        </is>
      </c>
      <c r="F1" s="415" t="inlineStr">
        <is>
          <t>Média</t>
        </is>
      </c>
      <c r="G1" s="415" t="inlineStr">
        <is>
          <t>Alta</t>
        </is>
      </c>
      <c r="H1" s="415" t="inlineStr">
        <is>
          <t>Muito Alta</t>
        </is>
      </c>
    </row>
    <row r="2">
      <c r="A2" s="416" t="inlineStr">
        <is>
          <t>Novo</t>
        </is>
      </c>
      <c r="B2" s="416" t="inlineStr">
        <is>
          <t>Front-End</t>
        </is>
      </c>
      <c r="C2" s="416" t="inlineStr">
        <is>
          <t>Tela de Autenticação / Login</t>
        </is>
      </c>
      <c r="D2" s="417" t="n">
        <v>9.6</v>
      </c>
      <c r="E2" s="417" t="n">
        <v>14.4</v>
      </c>
      <c r="F2" s="417" t="n">
        <v>19.2</v>
      </c>
      <c r="G2" s="417" t="n">
        <v>28.8</v>
      </c>
      <c r="H2" s="417" t="n">
        <v>38.4</v>
      </c>
    </row>
    <row r="3">
      <c r="A3" s="416" t="inlineStr">
        <is>
          <t>Novo</t>
        </is>
      </c>
      <c r="B3" s="416" t="inlineStr">
        <is>
          <t>Front-End</t>
        </is>
      </c>
      <c r="C3" s="416" t="inlineStr">
        <is>
          <t>Formulário de Cadastro Simples</t>
        </is>
      </c>
      <c r="D3" s="417" t="n">
        <v>14.4</v>
      </c>
      <c r="E3" s="417" t="n">
        <v>21.6</v>
      </c>
      <c r="F3" s="417" t="n">
        <v>28.8</v>
      </c>
      <c r="G3" s="417" t="n">
        <v>43.2</v>
      </c>
      <c r="H3" s="417" t="n">
        <v>57.6</v>
      </c>
    </row>
    <row r="4">
      <c r="A4" s="416" t="inlineStr">
        <is>
          <t>Novo</t>
        </is>
      </c>
      <c r="B4" s="416" t="inlineStr">
        <is>
          <t>Front-End</t>
        </is>
      </c>
      <c r="C4" s="416" t="inlineStr">
        <is>
          <t>Formulário Mestre-Detalhe</t>
        </is>
      </c>
      <c r="D4" s="417" t="n">
        <v>28.8</v>
      </c>
      <c r="E4" s="417" t="n">
        <v>43.2</v>
      </c>
      <c r="F4" s="417" t="n">
        <v>57.6</v>
      </c>
      <c r="G4" s="417" t="n">
        <v>86.40000000000001</v>
      </c>
      <c r="H4" s="417" t="n">
        <v>115.2</v>
      </c>
    </row>
    <row r="5">
      <c r="A5" s="416" t="inlineStr">
        <is>
          <t>Novo</t>
        </is>
      </c>
      <c r="B5" s="416" t="inlineStr">
        <is>
          <t>Front-End</t>
        </is>
      </c>
      <c r="C5" s="416" t="inlineStr">
        <is>
          <t>Listagem / Grid</t>
        </is>
      </c>
      <c r="D5" s="417" t="n">
        <v>9.6</v>
      </c>
      <c r="E5" s="417" t="n">
        <v>14.4</v>
      </c>
      <c r="F5" s="417" t="n">
        <v>19.2</v>
      </c>
      <c r="G5" s="417" t="n">
        <v>28.8</v>
      </c>
      <c r="H5" s="417" t="n">
        <v>38.4</v>
      </c>
    </row>
    <row r="6">
      <c r="A6" s="416" t="inlineStr">
        <is>
          <t>Novo</t>
        </is>
      </c>
      <c r="B6" s="416" t="inlineStr">
        <is>
          <t>Front-End</t>
        </is>
      </c>
      <c r="C6" s="416" t="inlineStr">
        <is>
          <t>Dashboard / Relatório Gráfico</t>
        </is>
      </c>
      <c r="D6" s="417" t="n">
        <v>24</v>
      </c>
      <c r="E6" s="417" t="n">
        <v>36</v>
      </c>
      <c r="F6" s="417" t="n">
        <v>48</v>
      </c>
      <c r="G6" s="417" t="n">
        <v>72</v>
      </c>
      <c r="H6" s="417" t="n">
        <v>96</v>
      </c>
    </row>
    <row r="7">
      <c r="A7" s="416" t="inlineStr">
        <is>
          <t>Novo</t>
        </is>
      </c>
      <c r="B7" s="416" t="inlineStr">
        <is>
          <t>Front-End</t>
        </is>
      </c>
      <c r="C7" s="416" t="inlineStr">
        <is>
          <t>Componente Visual Customizado</t>
        </is>
      </c>
      <c r="D7" s="417" t="n">
        <v>14.4</v>
      </c>
      <c r="E7" s="417" t="n">
        <v>21.6</v>
      </c>
      <c r="F7" s="417" t="n">
        <v>28.8</v>
      </c>
      <c r="G7" s="417" t="n">
        <v>43.2</v>
      </c>
      <c r="H7" s="417" t="n">
        <v>57.6</v>
      </c>
    </row>
    <row r="8">
      <c r="A8" s="416" t="inlineStr">
        <is>
          <t>Novo</t>
        </is>
      </c>
      <c r="B8" s="416" t="inlineStr">
        <is>
          <t>Back-End</t>
        </is>
      </c>
      <c r="C8" s="416" t="inlineStr">
        <is>
          <t>Regra de Negócio Simples</t>
        </is>
      </c>
      <c r="D8" s="417" t="n">
        <v>7.2</v>
      </c>
      <c r="E8" s="417" t="n">
        <v>10.8</v>
      </c>
      <c r="F8" s="417" t="n">
        <v>14.4</v>
      </c>
      <c r="G8" s="417" t="n">
        <v>21.6</v>
      </c>
      <c r="H8" s="417" t="n">
        <v>28.8</v>
      </c>
    </row>
    <row r="9">
      <c r="A9" s="416" t="inlineStr">
        <is>
          <t>Novo</t>
        </is>
      </c>
      <c r="B9" s="416" t="inlineStr">
        <is>
          <t>Back-End</t>
        </is>
      </c>
      <c r="C9" s="416" t="inlineStr">
        <is>
          <t>Regra de Negócio Complexa</t>
        </is>
      </c>
      <c r="D9" s="417" t="n">
        <v>19.2</v>
      </c>
      <c r="E9" s="417" t="n">
        <v>28.8</v>
      </c>
      <c r="F9" s="417" t="n">
        <v>38.4</v>
      </c>
      <c r="G9" s="417" t="n">
        <v>57.6</v>
      </c>
      <c r="H9" s="417" t="n">
        <v>76.8</v>
      </c>
    </row>
    <row r="10">
      <c r="A10" s="416" t="inlineStr">
        <is>
          <t>Novo</t>
        </is>
      </c>
      <c r="B10" s="416" t="inlineStr">
        <is>
          <t>Back-End</t>
        </is>
      </c>
      <c r="C10" s="416" t="inlineStr">
        <is>
          <t>Endpoint de API (CRUD Padrão)</t>
        </is>
      </c>
      <c r="D10" s="417" t="n">
        <v>14.4</v>
      </c>
      <c r="E10" s="417" t="n">
        <v>21.6</v>
      </c>
      <c r="F10" s="417" t="n">
        <v>28.8</v>
      </c>
      <c r="G10" s="417" t="n">
        <v>43.2</v>
      </c>
      <c r="H10" s="417" t="n">
        <v>57.6</v>
      </c>
    </row>
    <row r="11">
      <c r="A11" s="416" t="inlineStr">
        <is>
          <t>Novo</t>
        </is>
      </c>
      <c r="B11" s="416" t="inlineStr">
        <is>
          <t>Back-End</t>
        </is>
      </c>
      <c r="C11" s="416" t="inlineStr">
        <is>
          <t>Gestão de Perfis / Permissões</t>
        </is>
      </c>
      <c r="D11" s="417" t="n">
        <v>9.6</v>
      </c>
      <c r="E11" s="417" t="n">
        <v>14.4</v>
      </c>
      <c r="F11" s="417" t="n">
        <v>19.2</v>
      </c>
      <c r="G11" s="417" t="n">
        <v>28.8</v>
      </c>
      <c r="H11" s="417" t="n">
        <v>38.4</v>
      </c>
    </row>
    <row r="12">
      <c r="A12" s="416" t="inlineStr">
        <is>
          <t>Novo</t>
        </is>
      </c>
      <c r="B12" s="416" t="inlineStr">
        <is>
          <t>Integração</t>
        </is>
      </c>
      <c r="C12" s="416" t="inlineStr">
        <is>
          <t>Consumo de API Externa (Outbound)</t>
        </is>
      </c>
      <c r="D12" s="417" t="n">
        <v>19.2</v>
      </c>
      <c r="E12" s="417" t="n">
        <v>28.8</v>
      </c>
      <c r="F12" s="417" t="n">
        <v>38.4</v>
      </c>
      <c r="G12" s="417" t="n">
        <v>57.6</v>
      </c>
      <c r="H12" s="417" t="n">
        <v>76.8</v>
      </c>
    </row>
    <row r="13">
      <c r="A13" s="416" t="inlineStr">
        <is>
          <t>Novo</t>
        </is>
      </c>
      <c r="B13" s="416" t="inlineStr">
        <is>
          <t>Integração</t>
        </is>
      </c>
      <c r="C13" s="416" t="inlineStr">
        <is>
          <t>Serviço de Recepção (Inbound)</t>
        </is>
      </c>
      <c r="D13" s="417" t="n">
        <v>19.2</v>
      </c>
      <c r="E13" s="417" t="n">
        <v>28.8</v>
      </c>
      <c r="F13" s="417" t="n">
        <v>38.4</v>
      </c>
      <c r="G13" s="417" t="n">
        <v>57.6</v>
      </c>
      <c r="H13" s="417" t="n">
        <v>76.8</v>
      </c>
    </row>
    <row r="14">
      <c r="A14" s="416" t="inlineStr">
        <is>
          <t>Novo</t>
        </is>
      </c>
      <c r="B14" s="416" t="inlineStr">
        <is>
          <t>Integração</t>
        </is>
      </c>
      <c r="C14" s="416" t="inlineStr">
        <is>
          <t>Job / Rotina Assíncrona</t>
        </is>
      </c>
      <c r="D14" s="417" t="n">
        <v>14.4</v>
      </c>
      <c r="E14" s="417" t="n">
        <v>21.6</v>
      </c>
      <c r="F14" s="417" t="n">
        <v>28.8</v>
      </c>
      <c r="G14" s="417" t="n">
        <v>43.2</v>
      </c>
      <c r="H14" s="417" t="n">
        <v>57.6</v>
      </c>
    </row>
    <row r="15">
      <c r="A15" s="416" t="inlineStr">
        <is>
          <t>Novo</t>
        </is>
      </c>
      <c r="B15" s="416" t="inlineStr">
        <is>
          <t>Banco de Dados</t>
        </is>
      </c>
      <c r="C15" s="416" t="inlineStr">
        <is>
          <t>Modelagem / Entidade Básica</t>
        </is>
      </c>
      <c r="D15" s="417" t="n">
        <v>4.8</v>
      </c>
      <c r="E15" s="417" t="n">
        <v>7.2</v>
      </c>
      <c r="F15" s="417" t="n">
        <v>9.6</v>
      </c>
      <c r="G15" s="417" t="n">
        <v>14.4</v>
      </c>
      <c r="H15" s="417" t="n">
        <v>19.2</v>
      </c>
    </row>
    <row r="16">
      <c r="A16" s="416" t="inlineStr">
        <is>
          <t>Novo</t>
        </is>
      </c>
      <c r="B16" s="416" t="inlineStr">
        <is>
          <t>Banco de Dados</t>
        </is>
      </c>
      <c r="C16" s="416" t="inlineStr">
        <is>
          <t>View ou Query Complexa</t>
        </is>
      </c>
      <c r="D16" s="417" t="n">
        <v>9.6</v>
      </c>
      <c r="E16" s="417" t="n">
        <v>14.4</v>
      </c>
      <c r="F16" s="417" t="n">
        <v>19.2</v>
      </c>
      <c r="G16" s="417" t="n">
        <v>28.8</v>
      </c>
      <c r="H16" s="417" t="n">
        <v>38.4</v>
      </c>
    </row>
    <row r="17">
      <c r="A17" s="416" t="inlineStr">
        <is>
          <t>Novo</t>
        </is>
      </c>
      <c r="B17" s="416" t="inlineStr">
        <is>
          <t>Banco de Dados</t>
        </is>
      </c>
      <c r="C17" s="416" t="inlineStr">
        <is>
          <t>Script de Carga de Dados (ETL)</t>
        </is>
      </c>
      <c r="D17" s="417" t="n">
        <v>14.4</v>
      </c>
      <c r="E17" s="417" t="n">
        <v>21.6</v>
      </c>
      <c r="F17" s="417" t="n">
        <v>28.8</v>
      </c>
      <c r="G17" s="417" t="n">
        <v>43.2</v>
      </c>
      <c r="H17" s="417" t="n">
        <v>57.6</v>
      </c>
    </row>
    <row r="18">
      <c r="A18" s="416" t="inlineStr">
        <is>
          <t>Novo</t>
        </is>
      </c>
      <c r="B18" s="416" t="inlineStr">
        <is>
          <t>Outros</t>
        </is>
      </c>
      <c r="C18" s="416" t="inlineStr">
        <is>
          <t>Setup de Projeto Base</t>
        </is>
      </c>
      <c r="D18" s="417" t="n">
        <v>19.2</v>
      </c>
      <c r="E18" s="417" t="n">
        <v>28.8</v>
      </c>
      <c r="F18" s="417" t="n">
        <v>38.4</v>
      </c>
      <c r="G18" s="417" t="n">
        <v>57.6</v>
      </c>
      <c r="H18" s="417" t="n">
        <v>76.8</v>
      </c>
    </row>
    <row r="19">
      <c r="A19" s="416" t="inlineStr">
        <is>
          <t>Novo</t>
        </is>
      </c>
      <c r="B19" s="416" t="inlineStr">
        <is>
          <t>Outros</t>
        </is>
      </c>
      <c r="C19" s="416" t="inlineStr">
        <is>
          <t>Testes Unitários</t>
        </is>
      </c>
      <c r="D19" s="417" t="n">
        <v>9.6</v>
      </c>
      <c r="E19" s="417" t="n">
        <v>14.4</v>
      </c>
      <c r="F19" s="417" t="n">
        <v>19.2</v>
      </c>
      <c r="G19" s="417" t="n">
        <v>28.8</v>
      </c>
      <c r="H19" s="417" t="n">
        <v>38.4</v>
      </c>
    </row>
    <row r="20">
      <c r="A20" s="416" t="inlineStr">
        <is>
          <t>Novo</t>
        </is>
      </c>
      <c r="B20" s="416" t="inlineStr">
        <is>
          <t>Outros</t>
        </is>
      </c>
      <c r="C20" s="416" t="inlineStr">
        <is>
          <t>Documentação Técnica</t>
        </is>
      </c>
      <c r="D20" s="417" t="n">
        <v>9.6</v>
      </c>
      <c r="E20" s="417" t="n">
        <v>14.4</v>
      </c>
      <c r="F20" s="417" t="n">
        <v>19.2</v>
      </c>
      <c r="G20" s="417" t="n">
        <v>28.8</v>
      </c>
      <c r="H20" s="417" t="n">
        <v>38.4</v>
      </c>
    </row>
    <row r="21">
      <c r="A21" s="416" t="inlineStr">
        <is>
          <t>Ajuste</t>
        </is>
      </c>
      <c r="B21" s="416" t="inlineStr">
        <is>
          <t>Front-End</t>
        </is>
      </c>
      <c r="C21" s="416" t="inlineStr">
        <is>
          <t>Tela de Autenticação / Login</t>
        </is>
      </c>
      <c r="D21" s="417" t="n">
        <v>5.76</v>
      </c>
      <c r="E21" s="417" t="n">
        <v>8.640000000000001</v>
      </c>
      <c r="F21" s="417" t="n">
        <v>11.52</v>
      </c>
      <c r="G21" s="417" t="n">
        <v>17.28</v>
      </c>
      <c r="H21" s="417" t="n">
        <v>23.04</v>
      </c>
    </row>
    <row r="22">
      <c r="A22" s="416" t="inlineStr">
        <is>
          <t>Ajuste</t>
        </is>
      </c>
      <c r="B22" s="416" t="inlineStr">
        <is>
          <t>Front-End</t>
        </is>
      </c>
      <c r="C22" s="416" t="inlineStr">
        <is>
          <t>Formulário de Cadastro Simples</t>
        </is>
      </c>
      <c r="D22" s="417" t="n">
        <v>8.640000000000001</v>
      </c>
      <c r="E22" s="417" t="n">
        <v>12.96</v>
      </c>
      <c r="F22" s="417" t="n">
        <v>17.28</v>
      </c>
      <c r="G22" s="417" t="n">
        <v>25.92</v>
      </c>
      <c r="H22" s="417" t="n">
        <v>34.56</v>
      </c>
    </row>
    <row r="23">
      <c r="A23" s="416" t="inlineStr">
        <is>
          <t>Ajuste</t>
        </is>
      </c>
      <c r="B23" s="416" t="inlineStr">
        <is>
          <t>Front-End</t>
        </is>
      </c>
      <c r="C23" s="416" t="inlineStr">
        <is>
          <t>Formulário Mestre-Detalhe</t>
        </is>
      </c>
      <c r="D23" s="417" t="n">
        <v>17.28</v>
      </c>
      <c r="E23" s="417" t="n">
        <v>25.92</v>
      </c>
      <c r="F23" s="417" t="n">
        <v>34.56</v>
      </c>
      <c r="G23" s="417" t="n">
        <v>51.84</v>
      </c>
      <c r="H23" s="417" t="n">
        <v>69.12</v>
      </c>
    </row>
    <row r="24">
      <c r="A24" s="416" t="inlineStr">
        <is>
          <t>Ajuste</t>
        </is>
      </c>
      <c r="B24" s="416" t="inlineStr">
        <is>
          <t>Front-End</t>
        </is>
      </c>
      <c r="C24" s="416" t="inlineStr">
        <is>
          <t>Listagem / Grid</t>
        </is>
      </c>
      <c r="D24" s="417" t="n">
        <v>5.76</v>
      </c>
      <c r="E24" s="417" t="n">
        <v>8.640000000000001</v>
      </c>
      <c r="F24" s="417" t="n">
        <v>11.52</v>
      </c>
      <c r="G24" s="417" t="n">
        <v>17.28</v>
      </c>
      <c r="H24" s="417" t="n">
        <v>23.04</v>
      </c>
    </row>
    <row r="25">
      <c r="A25" s="416" t="inlineStr">
        <is>
          <t>Ajuste</t>
        </is>
      </c>
      <c r="B25" s="416" t="inlineStr">
        <is>
          <t>Front-End</t>
        </is>
      </c>
      <c r="C25" s="416" t="inlineStr">
        <is>
          <t>Dashboard / Relatório Gráfico</t>
        </is>
      </c>
      <c r="D25" s="417" t="n">
        <v>14.4</v>
      </c>
      <c r="E25" s="417" t="n">
        <v>21.6</v>
      </c>
      <c r="F25" s="417" t="n">
        <v>28.8</v>
      </c>
      <c r="G25" s="417" t="n">
        <v>43.2</v>
      </c>
      <c r="H25" s="417" t="n">
        <v>57.6</v>
      </c>
    </row>
    <row r="26">
      <c r="A26" s="416" t="inlineStr">
        <is>
          <t>Ajuste</t>
        </is>
      </c>
      <c r="B26" s="416" t="inlineStr">
        <is>
          <t>Front-End</t>
        </is>
      </c>
      <c r="C26" s="416" t="inlineStr">
        <is>
          <t>Componente Visual Customizado</t>
        </is>
      </c>
      <c r="D26" s="417" t="n">
        <v>8.640000000000001</v>
      </c>
      <c r="E26" s="417" t="n">
        <v>12.96</v>
      </c>
      <c r="F26" s="417" t="n">
        <v>17.28</v>
      </c>
      <c r="G26" s="417" t="n">
        <v>25.92</v>
      </c>
      <c r="H26" s="417" t="n">
        <v>34.56</v>
      </c>
    </row>
    <row r="27">
      <c r="A27" s="416" t="inlineStr">
        <is>
          <t>Ajuste</t>
        </is>
      </c>
      <c r="B27" s="416" t="inlineStr">
        <is>
          <t>Back-End</t>
        </is>
      </c>
      <c r="C27" s="416" t="inlineStr">
        <is>
          <t>Regra de Negócio Simples</t>
        </is>
      </c>
      <c r="D27" s="417" t="n">
        <v>4.32</v>
      </c>
      <c r="E27" s="417" t="n">
        <v>6.48</v>
      </c>
      <c r="F27" s="417" t="n">
        <v>8.640000000000001</v>
      </c>
      <c r="G27" s="417" t="n">
        <v>12.96</v>
      </c>
      <c r="H27" s="417" t="n">
        <v>17.28</v>
      </c>
    </row>
    <row r="28">
      <c r="A28" s="416" t="inlineStr">
        <is>
          <t>Ajuste</t>
        </is>
      </c>
      <c r="B28" s="416" t="inlineStr">
        <is>
          <t>Back-End</t>
        </is>
      </c>
      <c r="C28" s="416" t="inlineStr">
        <is>
          <t>Regra de Negócio Complexa</t>
        </is>
      </c>
      <c r="D28" s="417" t="n">
        <v>11.52</v>
      </c>
      <c r="E28" s="417" t="n">
        <v>17.28</v>
      </c>
      <c r="F28" s="417" t="n">
        <v>23.04</v>
      </c>
      <c r="G28" s="417" t="n">
        <v>34.56</v>
      </c>
      <c r="H28" s="417" t="n">
        <v>46.08</v>
      </c>
    </row>
    <row r="29">
      <c r="A29" s="416" t="inlineStr">
        <is>
          <t>Ajuste</t>
        </is>
      </c>
      <c r="B29" s="416" t="inlineStr">
        <is>
          <t>Back-End</t>
        </is>
      </c>
      <c r="C29" s="416" t="inlineStr">
        <is>
          <t>Endpoint de API (CRUD Padrão)</t>
        </is>
      </c>
      <c r="D29" s="417" t="n">
        <v>8.640000000000001</v>
      </c>
      <c r="E29" s="417" t="n">
        <v>12.96</v>
      </c>
      <c r="F29" s="417" t="n">
        <v>17.28</v>
      </c>
      <c r="G29" s="417" t="n">
        <v>25.92</v>
      </c>
      <c r="H29" s="417" t="n">
        <v>34.56</v>
      </c>
    </row>
    <row r="30">
      <c r="A30" s="416" t="inlineStr">
        <is>
          <t>Ajuste</t>
        </is>
      </c>
      <c r="B30" s="416" t="inlineStr">
        <is>
          <t>Back-End</t>
        </is>
      </c>
      <c r="C30" s="416" t="inlineStr">
        <is>
          <t>Gestão de Perfis / Permissões</t>
        </is>
      </c>
      <c r="D30" s="417" t="n">
        <v>5.76</v>
      </c>
      <c r="E30" s="417" t="n">
        <v>8.640000000000001</v>
      </c>
      <c r="F30" s="417" t="n">
        <v>11.52</v>
      </c>
      <c r="G30" s="417" t="n">
        <v>17.28</v>
      </c>
      <c r="H30" s="417" t="n">
        <v>23.04</v>
      </c>
    </row>
    <row r="31">
      <c r="A31" s="416" t="inlineStr">
        <is>
          <t>Ajuste</t>
        </is>
      </c>
      <c r="B31" s="416" t="inlineStr">
        <is>
          <t>Integração</t>
        </is>
      </c>
      <c r="C31" s="416" t="inlineStr">
        <is>
          <t>Consumo de API Externa (Outbound)</t>
        </is>
      </c>
      <c r="D31" s="417" t="n">
        <v>11.52</v>
      </c>
      <c r="E31" s="417" t="n">
        <v>17.28</v>
      </c>
      <c r="F31" s="417" t="n">
        <v>23.04</v>
      </c>
      <c r="G31" s="417" t="n">
        <v>34.56</v>
      </c>
      <c r="H31" s="417" t="n">
        <v>46.08</v>
      </c>
    </row>
    <row r="32">
      <c r="A32" s="416" t="inlineStr">
        <is>
          <t>Ajuste</t>
        </is>
      </c>
      <c r="B32" s="416" t="inlineStr">
        <is>
          <t>Integração</t>
        </is>
      </c>
      <c r="C32" s="416" t="inlineStr">
        <is>
          <t>Serviço de Recepção (Inbound)</t>
        </is>
      </c>
      <c r="D32" s="417" t="n">
        <v>11.52</v>
      </c>
      <c r="E32" s="417" t="n">
        <v>17.28</v>
      </c>
      <c r="F32" s="417" t="n">
        <v>23.04</v>
      </c>
      <c r="G32" s="417" t="n">
        <v>34.56</v>
      </c>
      <c r="H32" s="417" t="n">
        <v>46.08</v>
      </c>
    </row>
    <row r="33">
      <c r="A33" s="416" t="inlineStr">
        <is>
          <t>Ajuste</t>
        </is>
      </c>
      <c r="B33" s="416" t="inlineStr">
        <is>
          <t>Integração</t>
        </is>
      </c>
      <c r="C33" s="416" t="inlineStr">
        <is>
          <t>Job / Rotina Assíncrona</t>
        </is>
      </c>
      <c r="D33" s="417" t="n">
        <v>8.640000000000001</v>
      </c>
      <c r="E33" s="417" t="n">
        <v>12.96</v>
      </c>
      <c r="F33" s="417" t="n">
        <v>17.28</v>
      </c>
      <c r="G33" s="417" t="n">
        <v>25.92</v>
      </c>
      <c r="H33" s="417" t="n">
        <v>34.56</v>
      </c>
    </row>
    <row r="34">
      <c r="A34" s="416" t="inlineStr">
        <is>
          <t>Ajuste</t>
        </is>
      </c>
      <c r="B34" s="416" t="inlineStr">
        <is>
          <t>Banco de Dados</t>
        </is>
      </c>
      <c r="C34" s="416" t="inlineStr">
        <is>
          <t>Modelagem / Entidade Básica</t>
        </is>
      </c>
      <c r="D34" s="417" t="n">
        <v>2.88</v>
      </c>
      <c r="E34" s="417" t="n">
        <v>4.32</v>
      </c>
      <c r="F34" s="417" t="n">
        <v>5.76</v>
      </c>
      <c r="G34" s="417" t="n">
        <v>8.640000000000001</v>
      </c>
      <c r="H34" s="417" t="n">
        <v>11.52</v>
      </c>
    </row>
    <row r="35">
      <c r="A35" s="416" t="inlineStr">
        <is>
          <t>Ajuste</t>
        </is>
      </c>
      <c r="B35" s="416" t="inlineStr">
        <is>
          <t>Banco de Dados</t>
        </is>
      </c>
      <c r="C35" s="416" t="inlineStr">
        <is>
          <t>View ou Query Complexa</t>
        </is>
      </c>
      <c r="D35" s="417" t="n">
        <v>5.76</v>
      </c>
      <c r="E35" s="417" t="n">
        <v>8.640000000000001</v>
      </c>
      <c r="F35" s="417" t="n">
        <v>11.52</v>
      </c>
      <c r="G35" s="417" t="n">
        <v>17.28</v>
      </c>
      <c r="H35" s="417" t="n">
        <v>23.04</v>
      </c>
    </row>
    <row r="36">
      <c r="A36" s="416" t="inlineStr">
        <is>
          <t>Ajuste</t>
        </is>
      </c>
      <c r="B36" s="416" t="inlineStr">
        <is>
          <t>Banco de Dados</t>
        </is>
      </c>
      <c r="C36" s="416" t="inlineStr">
        <is>
          <t>Script de Carga de Dados (ETL)</t>
        </is>
      </c>
      <c r="D36" s="417" t="n">
        <v>8.640000000000001</v>
      </c>
      <c r="E36" s="417" t="n">
        <v>12.96</v>
      </c>
      <c r="F36" s="417" t="n">
        <v>17.28</v>
      </c>
      <c r="G36" s="417" t="n">
        <v>25.92</v>
      </c>
      <c r="H36" s="417" t="n">
        <v>34.56</v>
      </c>
    </row>
    <row r="37">
      <c r="A37" s="416" t="inlineStr">
        <is>
          <t>Ajuste</t>
        </is>
      </c>
      <c r="B37" s="416" t="inlineStr">
        <is>
          <t>Outros</t>
        </is>
      </c>
      <c r="C37" s="416" t="inlineStr">
        <is>
          <t>Setup de Projeto Base</t>
        </is>
      </c>
      <c r="D37" s="417" t="n">
        <v>11.52</v>
      </c>
      <c r="E37" s="417" t="n">
        <v>17.28</v>
      </c>
      <c r="F37" s="417" t="n">
        <v>23.04</v>
      </c>
      <c r="G37" s="417" t="n">
        <v>34.56</v>
      </c>
      <c r="H37" s="417" t="n">
        <v>46.08</v>
      </c>
    </row>
    <row r="38">
      <c r="A38" s="416" t="inlineStr">
        <is>
          <t>Ajuste</t>
        </is>
      </c>
      <c r="B38" s="416" t="inlineStr">
        <is>
          <t>Outros</t>
        </is>
      </c>
      <c r="C38" s="416" t="inlineStr">
        <is>
          <t>Testes Unitários</t>
        </is>
      </c>
      <c r="D38" s="417" t="n">
        <v>5.76</v>
      </c>
      <c r="E38" s="417" t="n">
        <v>8.640000000000001</v>
      </c>
      <c r="F38" s="417" t="n">
        <v>11.52</v>
      </c>
      <c r="G38" s="417" t="n">
        <v>17.28</v>
      </c>
      <c r="H38" s="417" t="n">
        <v>23.04</v>
      </c>
    </row>
    <row r="39">
      <c r="A39" s="416" t="inlineStr">
        <is>
          <t>Ajuste</t>
        </is>
      </c>
      <c r="B39" s="416" t="inlineStr">
        <is>
          <t>Outros</t>
        </is>
      </c>
      <c r="C39" s="416" t="inlineStr">
        <is>
          <t>Documentação Técnica</t>
        </is>
      </c>
      <c r="D39" s="417" t="n">
        <v>5.76</v>
      </c>
      <c r="E39" s="417" t="n">
        <v>8.640000000000001</v>
      </c>
      <c r="F39" s="417" t="n">
        <v>11.52</v>
      </c>
      <c r="G39" s="417" t="n">
        <v>17.28</v>
      </c>
      <c r="H39" s="417" t="n">
        <v>23.04</v>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cols>
    <col width="40" customWidth="1" min="1" max="1"/>
    <col width="100" customWidth="1" min="2" max="2"/>
  </cols>
  <sheetData>
    <row r="1">
      <c r="A1" s="415" t="inlineStr">
        <is>
          <t>Componente</t>
        </is>
      </c>
      <c r="B1" s="415" t="inlineStr">
        <is>
          <t>Descrição da Premissa e Escopo</t>
        </is>
      </c>
    </row>
    <row r="2">
      <c r="A2" s="416" t="inlineStr">
        <is>
          <t>Tela de Autenticação / Login</t>
        </is>
      </c>
      <c r="B2" s="418" t="inlineStr">
        <is>
          <t>Desenvolvimento de tela de login com integração a backend de autenticação (ex: JWT/OAuth).</t>
        </is>
      </c>
    </row>
    <row r="3">
      <c r="A3" s="416" t="inlineStr">
        <is>
          <t>Formulário de Cadastro Simples</t>
        </is>
      </c>
      <c r="B3" s="418" t="inlineStr">
        <is>
          <t>CRUD simples com até 5 campos padrão, persistência em BD, validações simples de front-end.</t>
        </is>
      </c>
    </row>
    <row r="4">
      <c r="A4" s="416" t="inlineStr">
        <is>
          <t>Formulário Mestre-Detalhe</t>
        </is>
      </c>
      <c r="B4" s="418" t="inlineStr">
        <is>
          <t>Tela complexa com abas ou listas associadas (ex: Pedido e Itens), com regras de interface dinâmicas.</t>
        </is>
      </c>
    </row>
    <row r="5">
      <c r="A5" s="416" t="inlineStr">
        <is>
          <t>Listagem / Grid</t>
        </is>
      </c>
      <c r="B5" s="418" t="inlineStr">
        <is>
          <t>Grid de dados com suporte a paginação, filtros por pelo menos 3 campos e ordenação de colunas.</t>
        </is>
      </c>
    </row>
    <row r="6">
      <c r="A6" s="416" t="inlineStr">
        <is>
          <t>Dashboard / Relatório Gráfico</t>
        </is>
      </c>
      <c r="B6" s="418" t="inlineStr">
        <is>
          <t>Tela que agrega múltiplos componentes visuais (gráficos de barra, pizza, linhas) baseados em diferentes origens de dados.</t>
        </is>
      </c>
    </row>
    <row r="7">
      <c r="A7" s="416" t="inlineStr">
        <is>
          <t>Componente Visual Customizado</t>
        </is>
      </c>
      <c r="B7" s="418" t="inlineStr">
        <is>
          <t>Criação de widget UI reutilizável que não é nativo da plataforma padrão.</t>
        </is>
      </c>
    </row>
    <row r="8">
      <c r="A8" s="416" t="inlineStr">
        <is>
          <t>Regra de Negócio Simples</t>
        </is>
      </c>
      <c r="B8" s="418" t="inlineStr">
        <is>
          <t>Validação de dados ou cálculo aritmético direto no fluxo da aplicação.</t>
        </is>
      </c>
    </row>
    <row r="9">
      <c r="A9" s="416" t="inlineStr">
        <is>
          <t>Regra de Negócio Complexa</t>
        </is>
      </c>
      <c r="B9" s="418" t="inlineStr">
        <is>
          <t>Processamento estruturado, consolidação de múltiplos modelos de dados ou algoritmo específico.</t>
        </is>
      </c>
    </row>
    <row r="10">
      <c r="A10" s="416" t="inlineStr">
        <is>
          <t>Endpoint de API (CRUD Padrão)</t>
        </is>
      </c>
      <c r="B10" s="418" t="inlineStr">
        <is>
          <t>Criação de rota RESTful para inserção, edição, leitura e deleção de uma entidade específica.</t>
        </is>
      </c>
    </row>
    <row r="11">
      <c r="A11" s="416" t="inlineStr">
        <is>
          <t>Gestão de Perfis / Permissões</t>
        </is>
      </c>
      <c r="B11" s="418" t="inlineStr">
        <is>
          <t>Verificação e bloqueio de funcionalidades baseado em roles e escopos de usuários.</t>
        </is>
      </c>
    </row>
    <row r="12">
      <c r="A12" s="416" t="inlineStr">
        <is>
          <t>Consumo de API Externa (Outbound)</t>
        </is>
      </c>
      <c r="B12" s="418" t="inlineStr">
        <is>
          <t>Integração cliente para consumir sistema de terceiro. Inclui parsing e tratamento de erro.</t>
        </is>
      </c>
    </row>
    <row r="13">
      <c r="A13" s="416" t="inlineStr">
        <is>
          <t>Serviço de Recepção (Inbound)</t>
        </is>
      </c>
      <c r="B13" s="418" t="inlineStr">
        <is>
          <t>Exposição de payload específico para recebimento de dados via webhook ou integração de parceiros.</t>
        </is>
      </c>
    </row>
    <row r="14">
      <c r="A14" s="416" t="inlineStr">
        <is>
          <t>Job / Rotina Assíncrona</t>
        </is>
      </c>
      <c r="B14" s="418" t="inlineStr">
        <is>
          <t>Processamento em background, scheduled tasks ou fila de execução (workers).</t>
        </is>
      </c>
    </row>
    <row r="15">
      <c r="A15" s="416" t="inlineStr">
        <is>
          <t>Modelagem / Entidade Básica</t>
        </is>
      </c>
      <c r="B15" s="418" t="inlineStr">
        <is>
          <t>Definição de tabelas, constraints e relacionamentos.</t>
        </is>
      </c>
    </row>
    <row r="16">
      <c r="A16" s="416" t="inlineStr">
        <is>
          <t>View ou Query Complexa</t>
        </is>
      </c>
      <c r="B16" s="418" t="inlineStr">
        <is>
          <t>Extração otimizada envolvendo múltiplos JOINs, subqueries e agregações.</t>
        </is>
      </c>
    </row>
    <row r="17">
      <c r="A17" s="416" t="inlineStr">
        <is>
          <t>Script de Carga de Dados (ETL)</t>
        </is>
      </c>
      <c r="B17" s="418" t="inlineStr">
        <is>
          <t>Script pontual para migração ou injeção de dados de configuração na inicialização.</t>
        </is>
      </c>
    </row>
    <row r="18">
      <c r="A18" s="416" t="inlineStr">
        <is>
          <t>Setup de Projeto Base</t>
        </is>
      </c>
      <c r="B18" s="418" t="inlineStr">
        <is>
          <t>Configuração inicial, arquitetura, dependências, injeção de dependência e scaffold.</t>
        </is>
      </c>
    </row>
    <row r="19">
      <c r="A19" s="416" t="inlineStr">
        <is>
          <t>Testes Unitários</t>
        </is>
      </c>
      <c r="B19" s="418" t="inlineStr">
        <is>
          <t>Criação de testes automatizados para cobertura dos métodos de negócios do componente em questão.</t>
        </is>
      </c>
    </row>
    <row r="20">
      <c r="A20" s="416" t="inlineStr">
        <is>
          <t>Documentação Técnica</t>
        </is>
      </c>
      <c r="B20" s="418" t="inlineStr">
        <is>
          <t>Elaboração de manual e detalhamento da arquitetura técnica / diagramas.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Gustavo Costa Berbert</dc:creator>
  <dcterms:created xsi:type="dcterms:W3CDTF">2021-08-03T13:30:06Z</dcterms:created>
  <dcterms:modified xsi:type="dcterms:W3CDTF">2026-07-09T00:37:42Z</dcterms:modified>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0x010100E64588A850DA5140AE0DC1CCEF9CD113</vt:lpwstr>
  </property>
  <property name="MediaServiceImageTags" fmtid="{D5CDD505-2E9C-101B-9397-08002B2CF9AE}" pid="3">
    <vt:lpwstr/>
  </property>
</Properties>
</file>